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cbfb3a77a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清单" sheetId="1" r:id="R8282a4f426de401d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<x:sst xmlns:x="http://schemas.openxmlformats.org/spreadsheetml/2006/main">
  <x:si>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</x:si>
  <x:si>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类别</x:t>
  </x:si>
  <x:si>
    <x:t xml:space="preserve">名称</x:t>
  </x:si>
  <x:si>
    <x:t xml:space="preserve">原文件名</x:t>
  </x:si>
  <x:si>
    <x:t xml:space="preserve">材料</x:t>
  </x:si>
  <x:si>
    <x:t xml:space="preserve">数量</x:t>
  </x:si>
  <x:si>
    <x:t xml:space="preserve">单价</x:t>
  </x:si>
  <x:si>
    <x:t xml:space="preserve">总格</x:t>
  </x:si>
  <x:si>
    <x:t xml:space="preserve">网址</x:t>
  </x:si>
  <x:si>
    <x:t xml:space="preserve">一、3D打印件（需打印）</x:t>
  </x:si>
  <x:si>
    <x:t xml:space="preserve">3D打印件</x:t>
  </x:si>
  <x:si>
    <x:t xml:space="preserve">头部上壳</x:t>
  </x:si>
  <x:si>
    <x:t xml:space="preserve">top_head_shell_头部上壳.stp</x:t>
  </x:si>
  <x:si>
    <x:t xml:space="preserve">PLA</x:t>
  </x:si>
  <x:si>
    <x:t xml:space="preserve">头部下壳</x:t>
  </x:si>
  <x:si>
    <x:t xml:space="preserve">bottom_head_shell_头部下壳.stp</x:t>
  </x:si>
  <x:si>
    <x:t xml:space="preserve">面部零件</x:t>
  </x:si>
  <x:si>
    <x:t xml:space="preserve">face_part_面部零件.stp</x:t>
  </x:si>
  <x:si>
    <x:t xml:space="preserve">下巴</x:t>
  </x:si>
  <x:si>
    <x:t xml:space="preserve">jaw_下巴.stp</x:t>
  </x:si>
  <x:si>
    <x:t xml:space="preserve">软下巴</x:t>
  </x:si>
  <x:si>
    <x:t xml:space="preserve">jaw_soft_软下巴.stp</x:t>
  </x:si>
  <x:si>
    <x:t xml:space="preserve">建议改用TPU软料</x:t>
  </x:si>
  <x:si>
    <x:t xml:space="preserve">软嘴顶部</x:t>
  </x:si>
  <x:si>
    <x:t xml:space="preserve">soft_mouth_top_软嘴顶部.stp</x:t>
  </x:si>
  <x:si>
    <x:t xml:space="preserve">眼睛</x:t>
  </x:si>
  <x:si>
    <x:t xml:space="preserve">noenoeil_眼睛.stp</x:t>
  </x:si>
  <x:si>
    <x:t xml:space="preserve">颈部</x:t>
  </x:si>
  <x:si>
    <x:t xml:space="preserve">neck_颈部.stp</x:t>
  </x:si>
  <x:si>
    <x:t xml:space="preserve">建议铝合金</x:t>
  </x:si>
  <x:si>
    <x:t xml:space="preserve">颈部俯仰</x:t>
  </x:si>
  <x:si>
    <x:t xml:space="preserve">neck_pitch_颈部俯仰.stp</x:t>
  </x:si>
  <x:si>
    <x:t xml:space="preserve">33</x:t>
  </x:si>
  <x:si>
    <x:t xml:space="preserve">躯干底座</x:t>
  </x:si>
  <x:si>
    <x:t xml:space="preserve">trunk_base_躯干底座.stp</x:t>
  </x:si>
  <x:si>
    <x:t xml:space="preserve">左壳</x:t>
  </x:si>
  <x:si>
    <x:t xml:space="preserve">left_shell_左壳.stp</x:t>
  </x:si>
  <x:si>
    <x:t xml:space="preserve">右壳</x:t>
  </x:si>
  <x:si>
    <x:t xml:space="preserve">right_shell_右壳.stp</x:t>
  </x:si>
  <x:si>
    <x:t xml:space="preserve">髋部左</x:t>
  </x:si>
  <x:si>
    <x:t xml:space="preserve">hip_l_髋部左.stp</x:t>
  </x:si>
  <x:si>
    <x:t xml:space="preserve">偏航转横滚</x:t>
  </x:si>
  <x:si>
    <x:t xml:space="preserve">yaw2roll_偏航转横滚.stp</x:t>
  </x:si>
  <x:si>
    <x:t xml:space="preserve">偏航横滚运动</x:t>
  </x:si>
  <x:si>
    <x:t xml:space="preserve">yaw_roll_motion_偏航横滚运动.stp</x:t>
  </x:si>
  <x:si>
    <x:t xml:space="preserve">腿部</x:t>
  </x:si>
  <x:si>
    <x:t xml:space="preserve">leg_腿部.stp</x:t>
  </x:si>
  <x:si>
    <x:t xml:space="preserve">左上腿</x:t>
  </x:si>
  <x:si>
    <x:t xml:space="preserve">left_upper_leg_左上腿.stp</x:t>
  </x:si>
  <x:si>
    <x:t xml:space="preserve">右上腿</x:t>
  </x:si>
  <x:si>
    <x:t xml:space="preserve">right_upper_leg_右上腿.stp</x:t>
  </x:si>
  <x:si>
    <x:t xml:space="preserve">上腿加固板</x:t>
  </x:si>
  <x:si>
    <x:t xml:space="preserve">upper_leg_rigidity_plate_上腿加固板.stp</x:t>
  </x:si>
  <x:si>
    <x:t xml:space="preserve">左脚</x:t>
  </x:si>
  <x:si>
    <x:t xml:space="preserve">foot_left_左脚.stp</x:t>
  </x:si>
  <x:si>
    <x:t xml:space="preserve">右脚</x:t>
  </x:si>
  <x:si>
    <x:t xml:space="preserve">foot_right_右脚.stp</x:t>
  </x:si>
  <x:si>
    <x:t xml:space="preserve">左脚底</x:t>
  </x:si>
  <x:si>
    <x:t xml:space="preserve">sole_left_左脚底.stp</x:t>
  </x:si>
  <x:si>
    <x:t xml:space="preserve">右脚底</x:t>
  </x:si>
  <x:si>
    <x:t xml:space="preserve">sole_right_右脚底.stp</x:t>
  </x:si>
  <x:si>
    <x:t xml:space="preserve">脚踝左</x:t>
  </x:si>
  <x:si>
    <x:t xml:space="preserve">ankle_left_脚踝左.stp</x:t>
  </x:si>
  <x:si>
    <x:t xml:space="preserve">脚踝右</x:t>
  </x:si>
  <x:si>
    <x:t xml:space="preserve">ankle_right_脚踝右.stp</x:t>
  </x:si>
  <x:si>
    <x:t xml:space="preserve">脚踝左(V1备选)</x:t>
  </x:si>
  <x:si>
    <x:t xml:space="preserve">ankle_l_v1_脚踝左V1.stp</x:t>
  </x:si>
  <x:si>
    <x:t xml:space="preserve">脚踝右(V1备选)</x:t>
  </x:si>
  <x:si>
    <x:t xml:space="preserve">ankle_r_v1_脚踝右V1.stp</x:t>
  </x:si>
  <x:si>
    <x:t xml:space="preserve">合体轮胎</x:t>
  </x:si>
  <x:si>
    <x:t xml:space="preserve">合体轮胎.stp</x:t>
  </x:si>
  <x:si>
    <x:t xml:space="preserve">滚轮叶片</x:t>
  </x:si>
  <x:si>
    <x:t xml:space="preserve">roller_blade_滚轮叶片.stp</x:t>
  </x:si>
  <x:si>
    <x:t xml:space="preserve">电机支架</x:t>
  </x:si>
  <x:si>
    <x:t xml:space="preserve">motor_support_电机支架.stp</x:t>
  </x:si>
  <x:si>
    <x:t xml:space="preserve">电源支架</x:t>
  </x:si>
  <x:si>
    <x:t xml:space="preserve">power_support_电源支架.stp</x:t>
  </x:si>
  <x:si>
    <x:t xml:space="preserve">香蕉形PCB锁扣</x:t>
  </x:si>
  <x:si>
    <x:t xml:space="preserve">banana_pcb_locker_香蕉形PCB锁扣.stp</x:t>
  </x:si>
  <x:si>
    <x:t xml:space="preserve">轴承滚轮</x:t>
  </x:si>
  <x:si>
    <x:t xml:space="preserve">bearing_roll_轴承滚轮.stp</x:t>
  </x:si>
  <x:si>
    <x:t xml:space="preserve">二、外购标准件（无需打印）</x:t>
  </x:si>
  <x:si>
    <x:t xml:space="preserve">外购件</x:t>
  </x:si>
  <x:si>
    <x:t xml:space="preserve">Radxa Zero 3W 主控板</x:t>
  </x:si>
  <x:si>
    <x:t xml:space="preserve">电子件</x:t>
  </x:si>
  <x:si>
    <x:t xml:space="preserve">64GB TF 卡</x:t>
  </x:si>
  <x:si>
    <x:t xml:space="preserve">树莓派机器人HAT电路板</x:t>
  </x:si>
  <x:si>
    <x:t xml:space="preserve">/</x:t>
  </x:si>
  <x:si>
    <x:t xml:space="preserve">imu_to_dxl电路板</x:t>
  </x:si>
  <x:si>
    <x:t xml:space="preserve">飞特HD1901M舵机</x:t>
  </x:si>
  <x:si>
    <x:t xml:space="preserve">飞特舵机URT2调试板</x:t>
  </x:si>
  <x:si>
    <x:t xml:space="preserve">NP-F550电池</x:t>
  </x:si>
  <x:si>
    <x:t xml:space="preserve">电池座</x:t>
  </x:si>
  <x:si>
    <x:t xml:space="preserve">2.5mm香蕉插头PCB铜镀金</x:t>
  </x:si>
  <x:si>
    <x:t xml:space="preserve">banana PCB</x:t>
  </x:si>
  <x:si>
    <x:t xml:space="preserve">嘉立创</x:t>
  </x:si>
  <x:si>
    <x:t xml:space="preserve">IMX219摄像头模块</x:t>
  </x:si>
  <x:si>
    <x:t xml:space="preserve">光学件</x:t>
  </x:si>
  <x:si>
    <x:t xml:space="preserve">VL53L8CX ToF 模块</x:t>
  </x:si>
  <x:si>
    <x:t xml:space="preserve">扬声器</x:t>
  </x:si>
  <x:si>
    <x:t xml:space="preserve">轴承 10×15×3</x:t>
  </x:si>
  <x:si>
    <x:t xml:space="preserve">标准件</x:t>
  </x:si>
  <x:si>
    <x:t xml:space="preserve">轴承 16×22×4</x:t>
  </x:si>
  <x:si>
    <x:t xml:space="preserve">轴承 6×12×3</x:t>
  </x:si>
  <x:si>
    <x:t xml:space="preserve">轮滑鞋用轴承</x:t>
  </x:si>
  <x:si>
    <x:t xml:space="preserve">螺丝M2×5</x:t>
  </x:si>
  <x:si>
    <x:t xml:space="preserve">1包</x:t>
  </x:si>
  <x:si>
    <x:t xml:space="preserve">螺丝M2×6</x:t>
  </x:si>
  <x:si>
    <x:t xml:space="preserve">螺丝M2.5×6</x:t>
  </x:si>
  <x:si>
    <x:t xml:space="preserve">螺丝M2.5×8</x:t>
  </x:si>
  <x:si>
    <x:t xml:space="preserve">乐泰螺纹胶243</x:t>
  </x:si>
  <x:si>
    <x:t xml:space="preserve">合计：3D打印件 33 项 / 外购件 21项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</x:si>
</x:sst>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9">
    <x:font>
      <x:sz val="11"/>
      <x:color theme="1"/>
      <x:name val="宋体"/>
      <x:scheme val="minor"/>
    </x:font>
    <x:font>
      <x:b/>
      <x:sz val="11"/>
      <x:color rgb="FFFFFFFF"/>
      <x:name val="宋体"/>
      <x:scheme val="minor"/>
    </x:font>
    <x:font>
      <x:b/>
      <x:sz val="11"/>
      <x:color rgb="FF1F3864"/>
      <x:name val="宋体"/>
      <x:scheme val="minor"/>
    </x:font>
    <x:font>
      <x:sz val="9"/>
      <x:color rgb="FF595959"/>
      <x:name val="宋体"/>
      <x:scheme val="minor"/>
    </x:font>
    <x:font>
      <x:u val="single"/>
      <x:sz val="11"/>
      <x:color rgb="FF0000FF"/>
      <x:name val="宋体"/>
      <x:scheme val="minor"/>
    </x:font>
    <x:font>
      <x:sz val="11"/>
      <x:name val="宋体"/>
      <x:scheme val="minor"/>
    </x:font>
    <x:font>
      <x:sz val="11"/>
      <x:color rgb="FFFF0000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800080"/>
      <x:name val="宋体"/>
      <x:scheme val="minor"/>
    </x:font>
    <x:font>
      <x:b/>
      <x:sz val="11"/>
      <x:name val="宋体"/>
      <x:scheme val="minor"/>
    </x:font>
    <x:font>
      <x:sz val="20"/>
      <x:color rgb="FFFF000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sz val="16"/>
      <x:color rgb="FFFF0000"/>
      <x:name val="宋体"/>
      <x:scheme val="minor"/>
    </x:font>
  </x:fonts>
  <x:fills count="3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6E4F0"/>
      </x:patternFill>
    </x:fill>
    <x:fill>
      <x:patternFill patternType="solid">
        <x:fgColor theme="0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0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 style="thin">
        <x:color auto="1"/>
      </x:left>
      <x:right style="thin">
        <x:color auto="1"/>
      </x:right>
      <x:top style="thin">
        <x:color rgb="FFBFBFBF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FBFBF"/>
      </x:left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4" fillId="0" borderId="0">
      <x:alignment vertical="center"/>
    </x:xf>
    <x:xf numFmtId="0" fontId="7" fillId="0" borderId="0">
      <x:alignment vertical="center"/>
    </x:xf>
    <x:xf numFmtId="0" fontId="0" fillId="7" borderId="12">
      <x:alignment vertical="center"/>
    </x:xf>
    <x:xf numFmtId="0" fontId="11" fillId="0" borderId="0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13">
      <x:alignment vertical="center"/>
    </x:xf>
    <x:xf numFmtId="0" fontId="15" fillId="0" borderId="13">
      <x:alignment vertical="center"/>
    </x:xf>
    <x:xf numFmtId="0" fontId="16" fillId="0" borderId="14">
      <x:alignment vertical="center"/>
    </x:xf>
    <x:xf numFmtId="0" fontId="16" fillId="0" borderId="0">
      <x:alignment vertical="center"/>
    </x:xf>
    <x:xf numFmtId="0" fontId="17" fillId="8" borderId="15">
      <x:alignment vertical="center"/>
    </x:xf>
    <x:xf numFmtId="0" fontId="18" fillId="9" borderId="16">
      <x:alignment vertical="center"/>
    </x:xf>
    <x:xf numFmtId="0" fontId="19" fillId="9" borderId="15">
      <x:alignment vertical="center"/>
    </x:xf>
    <x:xf numFmtId="0" fontId="20" fillId="10" borderId="17">
      <x:alignment vertical="center"/>
    </x:xf>
    <x:xf numFmtId="0" fontId="21" fillId="0" borderId="18">
      <x:alignment vertical="center"/>
    </x:xf>
    <x:xf numFmtId="0" fontId="22" fillId="0" borderId="19">
      <x:alignment vertical="center"/>
    </x:xf>
    <x:xf numFmtId="0" fontId="23" fillId="11" borderId="0">
      <x:alignment vertical="center"/>
    </x:xf>
    <x:xf numFmtId="0" fontId="24" fillId="12" borderId="0">
      <x:alignment vertical="center"/>
    </x:xf>
    <x:xf numFmtId="0" fontId="25" fillId="13" borderId="0">
      <x:alignment vertical="center"/>
    </x:xf>
    <x:xf numFmtId="0" fontId="26" fillId="14" borderId="0">
      <x:alignment vertical="center"/>
    </x:xf>
    <x:xf numFmtId="0" fontId="27" fillId="15" borderId="0">
      <x:alignment vertical="center"/>
    </x:xf>
    <x:xf numFmtId="0" fontId="27" fillId="16" borderId="0">
      <x:alignment vertical="center"/>
    </x:xf>
    <x:xf numFmtId="0" fontId="26" fillId="17" borderId="0">
      <x:alignment vertical="center"/>
    </x:xf>
    <x:xf numFmtId="0" fontId="26" fillId="18" borderId="0">
      <x:alignment vertical="center"/>
    </x:xf>
    <x:xf numFmtId="0" fontId="27" fillId="19" borderId="0">
      <x:alignment vertical="center"/>
    </x:xf>
    <x:xf numFmtId="0" fontId="27" fillId="20" borderId="0">
      <x:alignment vertical="center"/>
    </x:xf>
    <x:xf numFmtId="0" fontId="26" fillId="21" borderId="0">
      <x:alignment vertical="center"/>
    </x:xf>
    <x:xf numFmtId="0" fontId="26" fillId="22" borderId="0">
      <x:alignment vertical="center"/>
    </x:xf>
    <x:xf numFmtId="0" fontId="27" fillId="23" borderId="0">
      <x:alignment vertical="center"/>
    </x:xf>
    <x:xf numFmtId="0" fontId="27" fillId="24" borderId="0">
      <x:alignment vertical="center"/>
    </x:xf>
    <x:xf numFmtId="0" fontId="26" fillId="25" borderId="0">
      <x:alignment vertical="center"/>
    </x:xf>
    <x:xf numFmtId="0" fontId="26" fillId="26" borderId="0">
      <x:alignment vertical="center"/>
    </x:xf>
    <x:xf numFmtId="0" fontId="27" fillId="27" borderId="0">
      <x:alignment vertical="center"/>
    </x:xf>
    <x:xf numFmtId="0" fontId="27" fillId="28" borderId="0">
      <x:alignment vertical="center"/>
    </x:xf>
    <x:xf numFmtId="0" fontId="26" fillId="29" borderId="0">
      <x:alignment vertical="center"/>
    </x:xf>
    <x:xf numFmtId="0" fontId="26" fillId="30" borderId="0">
      <x:alignment vertical="center"/>
    </x:xf>
    <x:xf numFmtId="0" fontId="27" fillId="31" borderId="0">
      <x:alignment vertical="center"/>
    </x:xf>
    <x:xf numFmtId="0" fontId="27" fillId="32" borderId="0">
      <x:alignment vertical="center"/>
    </x:xf>
    <x:xf numFmtId="0" fontId="26" fillId="33" borderId="0">
      <x:alignment vertical="center"/>
    </x:xf>
    <x:xf numFmtId="0" fontId="26" fillId="34" borderId="0">
      <x:alignment vertical="center"/>
    </x:xf>
    <x:xf numFmtId="0" fontId="27" fillId="35" borderId="0">
      <x:alignment vertical="center"/>
    </x:xf>
    <x:xf numFmtId="0" fontId="27" fillId="36" borderId="0">
      <x:alignment vertical="center"/>
    </x:xf>
    <x:xf numFmtId="0" fontId="26" fillId="37" borderId="0">
      <x:alignment vertical="center"/>
    </x:xf>
  </x:cellStyleXfs>
  <x:cellXfs count="4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left" vertical="center"/>
    </x:xf>
    <x:xf numFmtId="0" fontId="0" fillId="0" borderId="3" xfId="0" applyBorder="1"/>
    <x:xf numFmtId="0" fontId="0" fillId="0" borderId="4" xfId="0" applyBorder="1" applyAlignment="1">
      <x:alignment horizontal="center" vertical="center" wrapText="1"/>
    </x:xf>
    <x:xf numFmtId="0" fontId="0" fillId="4" borderId="4" xfId="0" applyFill="1" applyBorder="1" applyAlignment="1">
      <x:alignment horizontal="left" vertical="center" wrapText="1"/>
    </x:xf>
    <x:xf numFmtId="0" fontId="3" fillId="0" borderId="4" xfId="0" applyFont="1" applyBorder="1" applyAlignment="1">
      <x:alignment horizontal="left" vertical="center" wrapText="1"/>
    </x:xf>
    <x:xf numFmtId="0" fontId="0" fillId="0" borderId="4" xfId="0" applyBorder="1"/>
    <x:xf numFmtId="0" fontId="0" fillId="0" borderId="5" xfId="0" applyBorder="1"/>
    <x:xf numFmtId="0" fontId="0" fillId="0" borderId="5" xfId="0" applyBorder="1" applyAlignment="1">
      <x:alignment horizontal="center" vertical="center" wrapText="1"/>
    </x:xf>
    <x:xf numFmtId="0" fontId="4" fillId="0" borderId="0" xfId="6">
      <x:alignment vertical="center"/>
    </x:xf>
    <x:xf numFmtId="0" fontId="0" fillId="0" borderId="6" xfId="0" applyBorder="1"/>
    <x:xf numFmtId="0" fontId="0" fillId="0" borderId="6" xfId="0" applyBorder="1" applyAlignment="1">
      <x:alignment horizontal="center" vertical="center" wrapText="1"/>
    </x:xf>
    <x:xf numFmtId="0" fontId="0" fillId="0" borderId="4" xfId="0" applyBorder="1" applyAlignment="1">
      <x:alignment horizontal="left" vertical="center" wrapText="1"/>
    </x:xf>
    <x:xf numFmtId="0" fontId="0" fillId="0" borderId="6" xfId="0" applyBorder="1" applyAlignment="1">
      <x:alignment horizontal="left" vertical="center" wrapText="1"/>
    </x:xf>
    <x:xf numFmtId="0" fontId="5" fillId="4" borderId="4" xfId="0" applyFont="1" applyFill="1" applyBorder="1" applyAlignment="1">
      <x:alignment horizontal="left" vertical="center" wrapText="1"/>
    </x:xf>
    <x:xf numFmtId="0" fontId="0" fillId="0" borderId="7" xfId="0" applyBorder="1" applyAlignment="1">
      <x:alignment horizontal="left" vertical="center" wrapText="1"/>
    </x:xf>
    <x:xf numFmtId="0" fontId="0" fillId="0" borderId="7" xfId="0" applyBorder="1" applyAlignment="1">
      <x:alignment horizontal="center" vertical="center" wrapText="1"/>
    </x:xf>
    <x:xf numFmtId="0" fontId="2" fillId="3" borderId="8" xfId="0" applyFont="1" applyFill="1" applyBorder="1" applyAlignment="1">
      <x:alignment vertical="center"/>
    </x:xf>
    <x:xf numFmtId="0" fontId="2" fillId="3" borderId="9" xfId="0" applyFont="1" applyFill="1" applyBorder="1" applyAlignment="1">
      <x:alignment vertical="center"/>
    </x:xf>
    <x:xf numFmtId="0" fontId="0" fillId="5" borderId="1" xfId="0" applyFill="1" applyBorder="1" applyAlignment="1">
      <x:alignment horizontal="center" vertical="center" wrapText="1"/>
    </x:xf>
    <x:xf numFmtId="0" fontId="0" fillId="5" borderId="1" xfId="0" applyFill="1" applyBorder="1" applyAlignment="1">
      <x:alignment horizontal="left" vertical="center" wrapText="1"/>
    </x:xf>
    <x:xf numFmtId="0" fontId="4" fillId="0" borderId="0" xfId="6" applyFill="1">
      <x:alignment vertical="center"/>
    </x:xf>
    <x:xf numFmtId="0" fontId="6" fillId="5" borderId="1" xfId="0" applyFont="1" applyFill="1" applyBorder="1" applyAlignment="1">
      <x:alignment horizontal="center" vertical="center" wrapText="1"/>
    </x:xf>
    <x:xf numFmtId="0" fontId="7" fillId="0" borderId="0" xfId="6" applyFont="1">
      <x:alignment vertical="center"/>
    </x:xf>
    <x:xf numFmtId="0" fontId="8" fillId="0" borderId="0" xfId="6" applyFont="1">
      <x:alignment vertical="center"/>
    </x:xf>
    <x:xf numFmtId="0" fontId="7" fillId="0" borderId="0" xfId="6" applyFont="1" applyFill="1">
      <x:alignment vertical="center"/>
    </x:xf>
    <x:xf numFmtId="0" fontId="5" fillId="5" borderId="1" xfId="0" applyFont="1" applyFill="1" applyBorder="1" applyAlignment="1">
      <x:alignment horizontal="center" vertical="center" wrapText="1"/>
    </x:xf>
    <x:xf numFmtId="0" fontId="5" fillId="5" borderId="0" xfId="0" applyFont="1" applyFill="1" applyAlignment="1">
      <x:alignment horizontal="center" vertical="center" wrapText="1"/>
    </x:xf>
    <x:xf numFmtId="0" fontId="7" fillId="5" borderId="2" xfId="6" applyFont="1" applyFill="1" applyBorder="1" applyAlignment="1">
      <x:alignment horizontal="left" vertical="center"/>
    </x:xf>
    <x:xf numFmtId="0" fontId="0" fillId="0" borderId="0" xfId="0" applyAlignment="1"/>
    <x:xf numFmtId="0" fontId="9" fillId="6" borderId="1" xfId="0" applyFont="1" applyFill="1" applyBorder="1" applyAlignment="1">
      <x:alignment horizontal="left" vertical="center"/>
    </x:xf>
    <x:xf numFmtId="0" fontId="0" fillId="0" borderId="10" xfId="0" applyBorder="1"/>
    <x:xf numFmtId="0" fontId="0" fillId="0" borderId="11" xfId="0" applyBorder="1"/>
    <x:xf numFmtId="0" fontId="0" fillId="6" borderId="1" xfId="0" applyFill="1" applyBorder="1"/>
    <x:xf numFmtId="0" fontId="10" fillId="6" borderId="1" xfId="0" applyFont="1" applyFill="1" applyBorder="1" applyAlignment="1">
      <x:alignment horizontal="center"/>
    </x:xf>
    <x:xf numFmtId="0" fontId="0" fillId="6" borderId="2" xfId="0" applyFill="1" applyBorder="1"/>
    <x:xf numFmtId="0" fontId="0" fillId="0" borderId="0" xfId="0" applyFont="1" applyAlignment="1">
      <x:alignment horizontal="left" vertical="top" wrapText="1"/>
    </x:xf>
    <x:xf numFmtId="0" fontId="0" fillId="0" borderId="0" xfId="0" applyAlignment="1">
      <x:alignment horizontal="left" vertical="top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db4ab333b4740" /><Relationship Type="http://schemas.openxmlformats.org/officeDocument/2006/relationships/theme" Target="/xl/theme/theme1.xml" Id="R0cdb37b64090421e" /><Relationship Type="http://schemas.openxmlformats.org/officeDocument/2006/relationships/sharedStrings" Target="/xl/sharedStrings.xml" Id="R6e8845385225487d" /><Relationship Type="http://schemas.openxmlformats.org/officeDocument/2006/relationships/worksheet" Target="/xl/worksheets/sheet1.xml" Id="R8282a4f426de40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defaultColWidth="9" defaultRowHeight="13.5"/>
  <ns0:cols>
    <ns0:col min="1" max="1" width="6" customWidth="1"/>
    <ns0:col min="2" max="2" width="12" customWidth="1"/>
    <ns0:col min="3" max="3" width="22" customWidth="1"/>
    <ns0:col min="4" max="4" width="34.125" customWidth="1"/>
    <ns0:col min="5" max="6" width="13.375" customWidth="1"/>
    <ns0:col min="7" max="7" width="8" customWidth="1"/>
    <ns0:col min="8" max="8" width="19.875" customWidth="1"/>
    <ns0:col min="9" max="9" width="14.5" customWidth="1"/>
    <ns0:col min="10" max="10" width="49.75" customWidth="1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/>
      <ns0:c r="G1" s="1" t="s">
        <ns0:v>5</ns0:v>
      </ns0:c>
      <ns0:c r="H1" s="1" t="s">
        <ns0:v>6</ns0:v>
      </ns0:c>
      <ns0:c r="I1" s="1" t="s">
        <ns0:v>7</ns0:v>
      </ns0:c>
      <ns0:c r="J1" s="2" t="s">
        <ns0:v>8</ns0:v>
      </ns0:c>
    </ns0:row>
    <ns0:row r="2">
      <ns0:c r="A2" s="3" t="s">
        <ns0:v>9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>
      <ns0:c r="A3" s="5">
        <ns0:v>1</ns0:v>
      </ns0:c>
      <ns0:c r="B3" s="5" t="s">
        <ns0:v>10</ns0:v>
      </ns0:c>
      <ns0:c r="C3" s="6" t="s">
        <ns0:v>11</ns0:v>
      </ns0:c>
      <ns0:c r="D3" s="7" t="s">
        <ns0:v>12</ns0:v>
      </ns0:c>
      <ns0:c r="E3" s="5" t="s">
        <ns0:v>13</ns0:v>
      </ns0:c>
      <ns0:c r="F3" s="8"/>
      <ns0:c r="G3" s="5">
        <ns0:v>1</ns0:v>
      </ns0:c>
      <ns0:c r="H3" s="9"/>
      <ns0:c r="I3" s="10">
        <ns0:v>139</ns0:v>
      </ns0:c>
      <ns0:c r="J3"/>
    </ns0:row>
    <ns0:row r="4">
      <ns0:c r="A4" s="5">
        <ns0:v>2</ns0:v>
      </ns0:c>
      <ns0:c r="B4" s="5" t="s">
        <ns0:v>10</ns0:v>
      </ns0:c>
      <ns0:c r="C4" s="6" t="s">
        <ns0:v>14</ns0:v>
      </ns0:c>
      <ns0:c r="D4" s="7" t="s">
        <ns0:v>15</ns0:v>
      </ns0:c>
      <ns0:c r="E4" s="5" t="s">
        <ns0:v>13</ns0:v>
      </ns0:c>
      <ns0:c r="F4" s="8"/>
      <ns0:c r="G4" s="5">
        <ns0:v>1</ns0:v>
      </ns0:c>
      <ns0:c r="H4" s="12"/>
      <ns0:c r="I4" s="13"/>
      <ns0:c r="J4" s="13"/>
    </ns0:row>
    <ns0:row r="5">
      <ns0:c r="A5" s="5">
        <ns0:v>3</ns0:v>
      </ns0:c>
      <ns0:c r="B5" s="5" t="s">
        <ns0:v>10</ns0:v>
      </ns0:c>
      <ns0:c r="C5" s="6" t="s">
        <ns0:v>16</ns0:v>
      </ns0:c>
      <ns0:c r="D5" s="7" t="s">
        <ns0:v>17</ns0:v>
      </ns0:c>
      <ns0:c r="E5" s="5" t="s">
        <ns0:v>13</ns0:v>
      </ns0:c>
      <ns0:c r="F5" s="8"/>
      <ns0:c r="G5" s="5">
        <ns0:v>1</ns0:v>
      </ns0:c>
      <ns0:c r="H5" s="12"/>
      <ns0:c r="I5" s="13"/>
      <ns0:c r="J5" s="13"/>
    </ns0:row>
    <ns0:row r="6">
      <ns0:c r="A6" s="5">
        <ns0:v>4</ns0:v>
      </ns0:c>
      <ns0:c r="B6" s="5" t="s">
        <ns0:v>10</ns0:v>
      </ns0:c>
      <ns0:c r="C6" s="6" t="s">
        <ns0:v>18</ns0:v>
      </ns0:c>
      <ns0:c r="D6" s="7" t="s">
        <ns0:v>19</ns0:v>
      </ns0:c>
      <ns0:c r="E6" s="5" t="s">
        <ns0:v>13</ns0:v>
      </ns0:c>
      <ns0:c r="F6" s="8"/>
      <ns0:c r="G6" s="5">
        <ns0:v>1</ns0:v>
      </ns0:c>
      <ns0:c r="H6" s="12"/>
      <ns0:c r="I6" s="13"/>
      <ns0:c r="J6" s="13"/>
    </ns0:row>
    <ns0:row r="7" ht="27">
      <ns0:c r="A7" s="5">
        <ns0:v>5</ns0:v>
      </ns0:c>
      <ns0:c r="B7" s="5" t="s">
        <ns0:v>10</ns0:v>
      </ns0:c>
      <ns0:c r="C7" s="6" t="s">
        <ns0:v>20</ns0:v>
      </ns0:c>
      <ns0:c r="D7" s="7" t="s">
        <ns0:v>21</ns0:v>
      </ns0:c>
      <ns0:c r="E7" s="5" t="s">
        <ns0:v>13</ns0:v>
      </ns0:c>
      <ns0:c r="F7" s="14" t="s">
        <ns0:v>22</ns0:v>
      </ns0:c>
      <ns0:c r="G7" s="5">
        <ns0:v>1</ns0:v>
      </ns0:c>
      <ns0:c r="H7" s="15"/>
      <ns0:c r="I7" s="13"/>
      <ns0:c r="J7" s="13"/>
    </ns0:row>
    <ns0:row r="8" ht="27">
      <ns0:c r="A8" s="5">
        <ns0:v>6</ns0:v>
      </ns0:c>
      <ns0:c r="B8" s="5" t="s">
        <ns0:v>10</ns0:v>
      </ns0:c>
      <ns0:c r="C8" s="16" t="s">
        <ns0:v>23</ns0:v>
      </ns0:c>
      <ns0:c r="D8" s="7" t="s">
        <ns0:v>24</ns0:v>
      </ns0:c>
      <ns0:c r="E8" s="5" t="s">
        <ns0:v>13</ns0:v>
      </ns0:c>
      <ns0:c r="F8" s="14" t="s">
        <ns0:v>22</ns0:v>
      </ns0:c>
      <ns0:c r="G8" s="5">
        <ns0:v>1</ns0:v>
      </ns0:c>
      <ns0:c r="H8" s="15"/>
      <ns0:c r="I8" s="13"/>
      <ns0:c r="J8" s="13"/>
    </ns0:row>
    <ns0:row r="9">
      <ns0:c r="A9" s="5">
        <ns0:v>7</ns0:v>
      </ns0:c>
      <ns0:c r="B9" s="5" t="s">
        <ns0:v>10</ns0:v>
      </ns0:c>
      <ns0:c r="C9" s="6" t="s">
        <ns0:v>25</ns0:v>
      </ns0:c>
      <ns0:c r="D9" s="7" t="s">
        <ns0:v>26</ns0:v>
      </ns0:c>
      <ns0:c r="E9" s="5" t="s">
        <ns0:v>13</ns0:v>
      </ns0:c>
      <ns0:c r="F9" s="14"/>
      <ns0:c r="G9" s="5">
        <ns0:v>1</ns0:v>
      </ns0:c>
      <ns0:c r="H9" s="15"/>
      <ns0:c r="I9" s="13"/>
      <ns0:c r="J9" s="13"/>
    </ns0:row>
    <ns0:row r="10">
      <ns0:c r="A10" s="5">
        <ns0:v>8</ns0:v>
      </ns0:c>
      <ns0:c r="B10" s="5" t="s">
        <ns0:v>10</ns0:v>
      </ns0:c>
      <ns0:c r="C10" s="6" t="s">
        <ns0:v>27</ns0:v>
      </ns0:c>
      <ns0:c r="D10" s="7" t="s">
        <ns0:v>28</ns0:v>
      </ns0:c>
      <ns0:c r="E10" s="5" t="s">
        <ns0:v>13</ns0:v>
      </ns0:c>
      <ns0:c r="F10" s="14" t="s">
        <ns0:v>29</ns0:v>
      </ns0:c>
      <ns0:c r="G10" s="5">
        <ns0:v>2</ns0:v>
      </ns0:c>
      <ns0:c r="H10" s="15"/>
      <ns0:c r="I10" s="13"/>
      <ns0:c r="J10" s="13"/>
    </ns0:row>
    <ns0:row r="11">
      <ns0:c r="A11" s="5">
        <ns0:v>9</ns0:v>
      </ns0:c>
      <ns0:c r="B11" s="5" t="s">
        <ns0:v>10</ns0:v>
      </ns0:c>
      <ns0:c r="C11" s="6" t="s">
        <ns0:v>30</ns0:v>
      </ns0:c>
      <ns0:c r="D11" s="7" t="s">
        <ns0:v>31</ns0:v>
      </ns0:c>
      <ns0:c r="E11" s="5" t="s">
        <ns0:v>13</ns0:v>
      </ns0:c>
      <ns0:c r="F11" s="14" t="s">
        <ns0:v>32</ns0:v>
      </ns0:c>
      <ns0:c r="G11" s="5">
        <ns0:v>1</ns0:v>
      </ns0:c>
      <ns0:c r="H11" s="15"/>
      <ns0:c r="I11" s="13"/>
      <ns0:c r="J11" s="13"/>
    </ns0:row>
    <ns0:row r="12">
      <ns0:c r="A12" s="5">
        <ns0:v>10</ns0:v>
      </ns0:c>
      <ns0:c r="B12" s="5" t="s">
        <ns0:v>10</ns0:v>
      </ns0:c>
      <ns0:c r="C12" s="6" t="s">
        <ns0:v>33</ns0:v>
      </ns0:c>
      <ns0:c r="D12" s="7" t="s">
        <ns0:v>34</ns0:v>
      </ns0:c>
      <ns0:c r="E12" s="5" t="s">
        <ns0:v>13</ns0:v>
      </ns0:c>
      <ns0:c r="F12" s="14" t="s">
        <ns0:v>29</ns0:v>
      </ns0:c>
      <ns0:c r="G12" s="5">
        <ns0:v>1</ns0:v>
      </ns0:c>
      <ns0:c r="H12" s="15"/>
      <ns0:c r="I12" s="13"/>
      <ns0:c r="J12" s="13"/>
    </ns0:row>
    <ns0:row r="13">
      <ns0:c r="A13" s="5">
        <ns0:v>11</ns0:v>
      </ns0:c>
      <ns0:c r="B13" s="5" t="s">
        <ns0:v>10</ns0:v>
      </ns0:c>
      <ns0:c r="C13" s="6" t="s">
        <ns0:v>35</ns0:v>
      </ns0:c>
      <ns0:c r="D13" s="7" t="s">
        <ns0:v>36</ns0:v>
      </ns0:c>
      <ns0:c r="E13" s="5" t="s">
        <ns0:v>13</ns0:v>
      </ns0:c>
      <ns0:c r="F13" s="14" t="s">
        <ns0:v>32</ns0:v>
      </ns0:c>
      <ns0:c r="G13" s="5">
        <ns0:v>1</ns0:v>
      </ns0:c>
      <ns0:c r="H13" s="15"/>
      <ns0:c r="I13" s="13"/>
      <ns0:c r="J13" s="13"/>
    </ns0:row>
    <ns0:row r="14">
      <ns0:c r="A14" s="5">
        <ns0:v>12</ns0:v>
      </ns0:c>
      <ns0:c r="B14" s="5" t="s">
        <ns0:v>10</ns0:v>
      </ns0:c>
      <ns0:c r="C14" s="6" t="s">
        <ns0:v>37</ns0:v>
      </ns0:c>
      <ns0:c r="D14" s="7" t="s">
        <ns0:v>38</ns0:v>
      </ns0:c>
      <ns0:c r="E14" s="5" t="s">
        <ns0:v>13</ns0:v>
      </ns0:c>
      <ns0:c r="F14" s="14" t="s">
        <ns0:v>32</ns0:v>
      </ns0:c>
      <ns0:c r="G14" s="5">
        <ns0:v>1</ns0:v>
      </ns0:c>
      <ns0:c r="H14" s="15"/>
      <ns0:c r="I14" s="13"/>
      <ns0:c r="J14" s="13"/>
    </ns0:row>
    <ns0:row r="15">
      <ns0:c r="A15" s="5">
        <ns0:v>13</ns0:v>
      </ns0:c>
      <ns0:c r="B15" s="5" t="s">
        <ns0:v>10</ns0:v>
      </ns0:c>
      <ns0:c r="C15" s="6" t="s">
        <ns0:v>39</ns0:v>
      </ns0:c>
      <ns0:c r="D15" s="7" t="s">
        <ns0:v>40</ns0:v>
      </ns0:c>
      <ns0:c r="E15" s="5" t="s">
        <ns0:v>13</ns0:v>
      </ns0:c>
      <ns0:c r="F15" s="14"/>
      <ns0:c r="G15" s="5">
        <ns0:v>2</ns0:v>
      </ns0:c>
      <ns0:c r="H15" s="15"/>
      <ns0:c r="I15" s="13"/>
      <ns0:c r="J15" s="13"/>
    </ns0:row>
    <ns0:row r="16">
      <ns0:c r="A16" s="5">
        <ns0:v>14</ns0:v>
      </ns0:c>
      <ns0:c r="B16" s="5" t="s">
        <ns0:v>10</ns0:v>
      </ns0:c>
      <ns0:c r="C16" s="6" t="s">
        <ns0:v>41</ns0:v>
      </ns0:c>
      <ns0:c r="D16" s="7" t="s">
        <ns0:v>42</ns0:v>
      </ns0:c>
      <ns0:c r="E16" s="5" t="s">
        <ns0:v>13</ns0:v>
      </ns0:c>
      <ns0:c r="F16" s="14" t="s">
        <ns0:v>32</ns0:v>
      </ns0:c>
      <ns0:c r="G16" s="5">
        <ns0:v>1</ns0:v>
      </ns0:c>
      <ns0:c r="H16" s="15"/>
      <ns0:c r="I16" s="13"/>
      <ns0:c r="J16" s="13"/>
    </ns0:row>
    <ns0:row r="17">
      <ns0:c r="A17" s="5">
        <ns0:v>15</ns0:v>
      </ns0:c>
      <ns0:c r="B17" s="5" t="s">
        <ns0:v>10</ns0:v>
      </ns0:c>
      <ns0:c r="C17" s="6" t="s">
        <ns0:v>43</ns0:v>
      </ns0:c>
      <ns0:c r="D17" s="7" t="s">
        <ns0:v>44</ns0:v>
      </ns0:c>
      <ns0:c r="E17" s="5" t="s">
        <ns0:v>13</ns0:v>
      </ns0:c>
      <ns0:c r="F17" s="14"/>
      <ns0:c r="G17" s="5">
        <ns0:v>1</ns0:v>
      </ns0:c>
      <ns0:c r="H17" s="15"/>
      <ns0:c r="I17" s="13"/>
      <ns0:c r="J17" s="13"/>
    </ns0:row>
    <ns0:row r="18">
      <ns0:c r="A18" s="5">
        <ns0:v>16</ns0:v>
      </ns0:c>
      <ns0:c r="B18" s="5" t="s">
        <ns0:v>10</ns0:v>
      </ns0:c>
      <ns0:c r="C18" s="6" t="s">
        <ns0:v>45</ns0:v>
      </ns0:c>
      <ns0:c r="D18" s="7" t="s">
        <ns0:v>46</ns0:v>
      </ns0:c>
      <ns0:c r="E18" s="5" t="s">
        <ns0:v>13</ns0:v>
      </ns0:c>
      <ns0:c r="F18" s="14"/>
      <ns0:c r="G18" s="5">
        <ns0:v>2</ns0:v>
      </ns0:c>
      <ns0:c r="H18" s="15"/>
      <ns0:c r="I18" s="13"/>
      <ns0:c r="J18" s="13"/>
    </ns0:row>
    <ns0:row r="19">
      <ns0:c r="A19" s="5">
        <ns0:v>17</ns0:v>
      </ns0:c>
      <ns0:c r="B19" s="5" t="s">
        <ns0:v>10</ns0:v>
      </ns0:c>
      <ns0:c r="C19" s="6" t="s">
        <ns0:v>47</ns0:v>
      </ns0:c>
      <ns0:c r="D19" s="7" t="s">
        <ns0:v>48</ns0:v>
      </ns0:c>
      <ns0:c r="E19" s="5" t="s">
        <ns0:v>13</ns0:v>
      </ns0:c>
      <ns0:c r="F19" s="14"/>
      <ns0:c r="G19" s="5">
        <ns0:v>1</ns0:v>
      </ns0:c>
      <ns0:c r="H19" s="15"/>
      <ns0:c r="I19" s="13"/>
      <ns0:c r="J19" s="13"/>
    </ns0:row>
    <ns0:row r="20">
      <ns0:c r="A20" s="5">
        <ns0:v>18</ns0:v>
      </ns0:c>
      <ns0:c r="B20" s="5" t="s">
        <ns0:v>10</ns0:v>
      </ns0:c>
      <ns0:c r="C20" s="6" t="s">
        <ns0:v>49</ns0:v>
      </ns0:c>
      <ns0:c r="D20" s="7" t="s">
        <ns0:v>50</ns0:v>
      </ns0:c>
      <ns0:c r="E20" s="5" t="s">
        <ns0:v>13</ns0:v>
      </ns0:c>
      <ns0:c r="F20" s="14"/>
      <ns0:c r="G20" s="5">
        <ns0:v>1</ns0:v>
      </ns0:c>
      <ns0:c r="H20" s="15"/>
      <ns0:c r="I20" s="13"/>
      <ns0:c r="J20" s="13"/>
    </ns0:row>
    <ns0:row r="21">
      <ns0:c r="A21" s="5">
        <ns0:v>19</ns0:v>
      </ns0:c>
      <ns0:c r="B21" s="5" t="s">
        <ns0:v>10</ns0:v>
      </ns0:c>
      <ns0:c r="C21" s="6" t="s">
        <ns0:v>51</ns0:v>
      </ns0:c>
      <ns0:c r="D21" s="7" t="s">
        <ns0:v>52</ns0:v>
      </ns0:c>
      <ns0:c r="E21" s="5" t="s">
        <ns0:v>13</ns0:v>
      </ns0:c>
      <ns0:c r="F21" s="14" t="s">
        <ns0:v>29</ns0:v>
      </ns0:c>
      <ns0:c r="G21" s="5">
        <ns0:v>2</ns0:v>
      </ns0:c>
      <ns0:c r="H21" s="15"/>
      <ns0:c r="I21" s="13"/>
      <ns0:c r="J21" s="13"/>
    </ns0:row>
    <ns0:row r="22">
      <ns0:c r="A22" s="5">
        <ns0:v>20</ns0:v>
      </ns0:c>
      <ns0:c r="B22" s="5" t="s">
        <ns0:v>10</ns0:v>
      </ns0:c>
      <ns0:c r="C22" s="6" t="s">
        <ns0:v>53</ns0:v>
      </ns0:c>
      <ns0:c r="D22" s="7" t="s">
        <ns0:v>54</ns0:v>
      </ns0:c>
      <ns0:c r="E22" s="5" t="s">
        <ns0:v>13</ns0:v>
      </ns0:c>
      <ns0:c r="F22" s="14" t="s">
        <ns0:v>32</ns0:v>
      </ns0:c>
      <ns0:c r="G22" s="5">
        <ns0:v>1</ns0:v>
      </ns0:c>
      <ns0:c r="H22" s="15"/>
      <ns0:c r="I22" s="13"/>
      <ns0:c r="J22" s="13"/>
    </ns0:row>
    <ns0:row r="23">
      <ns0:c r="A23" s="5">
        <ns0:v>21</ns0:v>
      </ns0:c>
      <ns0:c r="B23" s="5" t="s">
        <ns0:v>10</ns0:v>
      </ns0:c>
      <ns0:c r="C23" s="6" t="s">
        <ns0:v>55</ns0:v>
      </ns0:c>
      <ns0:c r="D23" s="7" t="s">
        <ns0:v>56</ns0:v>
      </ns0:c>
      <ns0:c r="E23" s="5" t="s">
        <ns0:v>13</ns0:v>
      </ns0:c>
      <ns0:c r="F23" s="14" t="s">
        <ns0:v>32</ns0:v>
      </ns0:c>
      <ns0:c r="G23" s="5">
        <ns0:v>1</ns0:v>
      </ns0:c>
      <ns0:c r="H23" s="15"/>
      <ns0:c r="I23" s="13"/>
      <ns0:c r="J23" s="13"/>
    </ns0:row>
    <ns0:row r="24">
      <ns0:c r="A24" s="5">
        <ns0:v>22</ns0:v>
      </ns0:c>
      <ns0:c r="B24" s="5" t="s">
        <ns0:v>10</ns0:v>
      </ns0:c>
      <ns0:c r="C24" s="6" t="s">
        <ns0:v>57</ns0:v>
      </ns0:c>
      <ns0:c r="D24" s="7" t="s">
        <ns0:v>58</ns0:v>
      </ns0:c>
      <ns0:c r="E24" s="5" t="s">
        <ns0:v>13</ns0:v>
      </ns0:c>
      <ns0:c r="F24" s="14" t="s">
        <ns0:v>32</ns0:v>
      </ns0:c>
      <ns0:c r="G24" s="5">
        <ns0:v>1</ns0:v>
      </ns0:c>
      <ns0:c r="H24" s="15"/>
      <ns0:c r="I24" s="13"/>
      <ns0:c r="J24" s="13"/>
    </ns0:row>
    <ns0:row r="25">
      <ns0:c r="A25" s="5">
        <ns0:v>23</ns0:v>
      </ns0:c>
      <ns0:c r="B25" s="5" t="s">
        <ns0:v>10</ns0:v>
      </ns0:c>
      <ns0:c r="C25" s="6" t="s">
        <ns0:v>59</ns0:v>
      </ns0:c>
      <ns0:c r="D25" s="7" t="s">
        <ns0:v>60</ns0:v>
      </ns0:c>
      <ns0:c r="E25" s="5" t="s">
        <ns0:v>13</ns0:v>
      </ns0:c>
      <ns0:c r="F25" s="14" t="s">
        <ns0:v>32</ns0:v>
      </ns0:c>
      <ns0:c r="G25" s="5">
        <ns0:v>1</ns0:v>
      </ns0:c>
      <ns0:c r="H25" s="15"/>
      <ns0:c r="I25" s="13"/>
      <ns0:c r="J25" s="13"/>
    </ns0:row>
    <ns0:row r="26">
      <ns0:c r="A26" s="5">
        <ns0:v>24</ns0:v>
      </ns0:c>
      <ns0:c r="B26" s="5" t="s">
        <ns0:v>10</ns0:v>
      </ns0:c>
      <ns0:c r="C26" s="6" t="s">
        <ns0:v>61</ns0:v>
      </ns0:c>
      <ns0:c r="D26" s="7" t="s">
        <ns0:v>62</ns0:v>
      </ns0:c>
      <ns0:c r="E26" s="5" t="s">
        <ns0:v>13</ns0:v>
      </ns0:c>
      <ns0:c r="F26" s="14" t="s">
        <ns0:v>32</ns0:v>
      </ns0:c>
      <ns0:c r="G26" s="5">
        <ns0:v>1</ns0:v>
      </ns0:c>
      <ns0:c r="H26" s="15"/>
      <ns0:c r="I26" s="13"/>
      <ns0:c r="J26" s="13"/>
    </ns0:row>
    <ns0:row r="27">
      <ns0:c r="A27" s="5">
        <ns0:v>25</ns0:v>
      </ns0:c>
      <ns0:c r="B27" s="5" t="s">
        <ns0:v>10</ns0:v>
      </ns0:c>
      <ns0:c r="C27" s="6" t="s">
        <ns0:v>63</ns0:v>
      </ns0:c>
      <ns0:c r="D27" s="7" t="s">
        <ns0:v>64</ns0:v>
      </ns0:c>
      <ns0:c r="E27" s="5" t="s">
        <ns0:v>13</ns0:v>
      </ns0:c>
      <ns0:c r="F27" s="14" t="s">
        <ns0:v>32</ns0:v>
      </ns0:c>
      <ns0:c r="G27" s="5">
        <ns0:v>1</ns0:v>
      </ns0:c>
      <ns0:c r="H27" s="15"/>
      <ns0:c r="I27" s="13"/>
      <ns0:c r="J27" s="13"/>
    </ns0:row>
    <ns0:row r="28">
      <ns0:c r="A28" s="5">
        <ns0:v>26</ns0:v>
      </ns0:c>
      <ns0:c r="B28" s="5" t="s">
        <ns0:v>10</ns0:v>
      </ns0:c>
      <ns0:c r="C28" s="6" t="s">
        <ns0:v>65</ns0:v>
      </ns0:c>
      <ns0:c r="D28" s="7" t="s">
        <ns0:v>66</ns0:v>
      </ns0:c>
      <ns0:c r="E28" s="5" t="s">
        <ns0:v>13</ns0:v>
      </ns0:c>
      <ns0:c r="F28" s="14"/>
      <ns0:c r="G28" s="5">
        <ns0:v>1</ns0:v>
      </ns0:c>
      <ns0:c r="H28" s="15"/>
      <ns0:c r="I28" s="13"/>
      <ns0:c r="J28" s="13"/>
    </ns0:row>
    <ns0:row r="29">
      <ns0:c r="A29" s="5">
        <ns0:v>27</ns0:v>
      </ns0:c>
      <ns0:c r="B29" s="5" t="s">
        <ns0:v>10</ns0:v>
      </ns0:c>
      <ns0:c r="C29" s="6" t="s">
        <ns0:v>67</ns0:v>
      </ns0:c>
      <ns0:c r="D29" s="7" t="s">
        <ns0:v>68</ns0:v>
      </ns0:c>
      <ns0:c r="E29" s="5" t="s">
        <ns0:v>13</ns0:v>
      </ns0:c>
      <ns0:c r="F29" s="14"/>
      <ns0:c r="G29" s="5">
        <ns0:v>1</ns0:v>
      </ns0:c>
      <ns0:c r="H29" s="15"/>
      <ns0:c r="I29" s="13"/>
      <ns0:c r="J29" s="13"/>
    </ns0:row>
    <ns0:row r="30">
      <ns0:c r="A30" s="5">
        <ns0:v>28</ns0:v>
      </ns0:c>
      <ns0:c r="B30" s="5" t="s">
        <ns0:v>10</ns0:v>
      </ns0:c>
      <ns0:c r="C30" s="6" t="s">
        <ns0:v>69</ns0:v>
      </ns0:c>
      <ns0:c r="D30" s="7" t="s">
        <ns0:v>70</ns0:v>
      </ns0:c>
      <ns0:c r="E30" s="5" t="s">
        <ns0:v>13</ns0:v>
      </ns0:c>
      <ns0:c r="F30" s="14"/>
      <ns0:c r="G30" s="5">
        <ns0:v>4</ns0:v>
      </ns0:c>
      <ns0:c r="H30" s="15"/>
      <ns0:c r="I30" s="13"/>
      <ns0:c r="J30" s="13"/>
    </ns0:row>
    <ns0:row r="31">
      <ns0:c r="A31" s="5">
        <ns0:v>29</ns0:v>
      </ns0:c>
      <ns0:c r="B31" s="5" t="s">
        <ns0:v>10</ns0:v>
      </ns0:c>
      <ns0:c r="C31" s="6" t="s">
        <ns0:v>71</ns0:v>
      </ns0:c>
      <ns0:c r="D31" s="7" t="s">
        <ns0:v>72</ns0:v>
      </ns0:c>
      <ns0:c r="E31" s="5" t="s">
        <ns0:v>13</ns0:v>
      </ns0:c>
      <ns0:c r="F31" s="14"/>
      <ns0:c r="G31" s="5">
        <ns0:v>2</ns0:v>
      </ns0:c>
      <ns0:c r="H31" s="15"/>
      <ns0:c r="I31" s="13"/>
      <ns0:c r="J31" s="13"/>
    </ns0:row>
    <ns0:row r="32">
      <ns0:c r="A32" s="5">
        <ns0:v>30</ns0:v>
      </ns0:c>
      <ns0:c r="B32" s="5" t="s">
        <ns0:v>10</ns0:v>
      </ns0:c>
      <ns0:c r="C32" s="6" t="s">
        <ns0:v>73</ns0:v>
      </ns0:c>
      <ns0:c r="D32" s="7" t="s">
        <ns0:v>74</ns0:v>
      </ns0:c>
      <ns0:c r="E32" s="5" t="s">
        <ns0:v>13</ns0:v>
      </ns0:c>
      <ns0:c r="F32" s="14" t="s">
        <ns0:v>32</ns0:v>
      </ns0:c>
      <ns0:c r="G32" s="5">
        <ns0:v>1</ns0:v>
      </ns0:c>
      <ns0:c r="H32" s="15"/>
      <ns0:c r="I32" s="13"/>
      <ns0:c r="J32" s="13"/>
    </ns0:row>
    <ns0:row r="33">
      <ns0:c r="A33" s="5">
        <ns0:v>31</ns0:v>
      </ns0:c>
      <ns0:c r="B33" s="5" t="s">
        <ns0:v>10</ns0:v>
      </ns0:c>
      <ns0:c r="C33" s="6" t="s">
        <ns0:v>75</ns0:v>
      </ns0:c>
      <ns0:c r="D33" s="7" t="s">
        <ns0:v>76</ns0:v>
      </ns0:c>
      <ns0:c r="E33" s="5" t="s">
        <ns0:v>13</ns0:v>
      </ns0:c>
      <ns0:c r="F33" s="14" t="s">
        <ns0:v>32</ns0:v>
      </ns0:c>
      <ns0:c r="G33" s="5">
        <ns0:v>1</ns0:v>
      </ns0:c>
      <ns0:c r="H33" s="15"/>
      <ns0:c r="I33" s="13"/>
      <ns0:c r="J33" s="13"/>
    </ns0:row>
    <ns0:row r="34" ht="27" customHeight="1">
      <ns0:c r="A34" s="5">
        <ns0:v>32</ns0:v>
      </ns0:c>
      <ns0:c r="B34" s="5" t="s">
        <ns0:v>10</ns0:v>
      </ns0:c>
      <ns0:c r="C34" s="6" t="s">
        <ns0:v>77</ns0:v>
      </ns0:c>
      <ns0:c r="D34" s="14" t="s">
        <ns0:v>78</ns0:v>
      </ns0:c>
      <ns0:c r="E34" s="5" t="s">
        <ns0:v>13</ns0:v>
      </ns0:c>
      <ns0:c r="F34" s="5"/>
      <ns0:c r="G34" s="5">
        <ns0:v>1</ns0:v>
      </ns0:c>
      <ns0:c r="H34" s="13"/>
      <ns0:c r="I34" s="13"/>
      <ns0:c r="J34" s="13"/>
    </ns0:row>
    <ns0:row r="35">
      <ns0:c r="A35" s="5">
        <ns0:v>33</ns0:v>
      </ns0:c>
      <ns0:c r="B35" s="5" t="s">
        <ns0:v>10</ns0:v>
      </ns0:c>
      <ns0:c r="C35" s="14" t="s">
        <ns0:v>79</ns0:v>
      </ns0:c>
      <ns0:c r="D35" s="14" t="s">
        <ns0:v>80</ns0:v>
      </ns0:c>
      <ns0:c r="E35" s="5" t="s">
        <ns0:v>13</ns0:v>
      </ns0:c>
      <ns0:c r="F35" s="14" t="s">
        <ns0:v>29</ns0:v>
      </ns0:c>
      <ns0:c r="G35" s="5">
        <ns0:v>2</ns0:v>
      </ns0:c>
      <ns0:c r="H35" s="17"/>
      <ns0:c r="I35" s="18"/>
      <ns0:c r="J35" s="18"/>
    </ns0:row>
    <ns0:row r="36">
      <ns0:c r="A36" s="19" t="s">
        <ns0:v>81</ns0:v>
      </ns0:c>
      <ns0:c r="B36" s="19"/>
      <ns0:c r="C36" s="19"/>
      <ns0:c r="D36" s="19"/>
      <ns0:c r="E36" s="19"/>
      <ns0:c r="F36" s="19"/>
      <ns0:c r="G36" s="19"/>
      <ns0:c r="H36" s="19"/>
      <ns0:c r="I36" s="19">
        <ns0:v>0</ns0:v>
      </ns0:c>
      <ns0:c r="J36" s="20" t="s">
        <ns0:v>8</ns0:v>
      </ns0:c>
    </ns0:row>
    <ns0:row r="37">
      <ns0:c r="A37" s="21">
        <ns0:v>1</ns0:v>
      </ns0:c>
      <ns0:c r="B37" s="21" t="s">
        <ns0:v>82</ns0:v>
      </ns0:c>
      <ns0:c r="C37" s="22" t="s">
        <ns0:v>83</ns0:v>
      </ns0:c>
      <ns0:c r="D37" s="22"/>
      <ns0:c r="E37" s="21" t="s">
        <ns0:v>84</ns0:v>
      </ns0:c>
      <ns0:c r="F37" s="21"/>
      <ns0:c r="G37" s="21">
        <ns0:v>1</ns0:v>
      </ns0:c>
      <ns0:c r="H37" s="21">
        <ns0:v>309</ns0:v>
      </ns0:c>
      <ns0:c r="I37" s="21" t="n">
        <ns0:f>G37*H37</ns0:f>
        <ns0:v>309</ns0:v>
      </ns0:c>
      <ns0:c r="J37"/>
    </ns0:row>
    <ns0:row r="38">
      <ns0:c r="A38" s="21">
        <ns0:v>2</ns0:v>
      </ns0:c>
      <ns0:c r="B38" s="21" t="s">
        <ns0:v>82</ns0:v>
      </ns0:c>
      <ns0:c r="C38" s="22" t="s">
        <ns0:v>85</ns0:v>
      </ns0:c>
      <ns0:c r="D38" s="22"/>
      <ns0:c r="E38" s="21" t="s">
        <ns0:v>84</ns0:v>
      </ns0:c>
      <ns0:c r="F38" s="21"/>
      <ns0:c r="G38" s="21">
        <ns0:v>1</ns0:v>
      </ns0:c>
      <ns0:c r="H38" s="21">
        <ns0:v>60</ns0:v>
      </ns0:c>
      <ns0:c r="I38" s="21" t="n">
        <ns0:f>G38*H38</ns0:f>
        <ns0:v>60</ns0:v>
      </ns0:c>
      <ns0:c r="J38" s="23"/>
    </ns0:row>
    <ns0:row r="39">
      <ns0:c r="A39" s="21">
        <ns0:v>3</ns0:v>
      </ns0:c>
      <ns0:c r="B39" s="21" t="s">
        <ns0:v>82</ns0:v>
      </ns0:c>
      <ns0:c r="C39" s="22" t="s">
        <ns0:v>86</ns0:v>
      </ns0:c>
      <ns0:c r="D39" s="22"/>
      <ns0:c r="E39" s="21" t="s">
        <ns0:v>84</ns0:v>
      </ns0:c>
      <ns0:c r="F39" s="24"/>
      <ns0:c r="G39" s="21">
        <ns0:v>1</ns0:v>
      </ns0:c>
      <ns0:c r="H39" s="21" t="s">
        <ns0:v>87</ns0:v>
      </ns0:c>
      <ns0:c r="I39" s="24">
        <ns0:v>0</ns0:v>
      </ns0:c>
      <ns0:c r="J39"/>
    </ns0:row>
    <ns0:row r="40">
      <ns0:c r="A40" s="21">
        <ns0:v>4</ns0:v>
      </ns0:c>
      <ns0:c r="B40" s="21" t="s">
        <ns0:v>82</ns0:v>
      </ns0:c>
      <ns0:c r="C40" s="22" t="s">
        <ns0:v>88</ns0:v>
      </ns0:c>
      <ns0:c r="D40" s="22"/>
      <ns0:c r="E40" s="21" t="s">
        <ns0:v>84</ns0:v>
      </ns0:c>
      <ns0:c r="F40" s="24"/>
      <ns0:c r="G40" s="21">
        <ns0:v>1</ns0:v>
      </ns0:c>
      <ns0:c r="H40" s="21" t="s">
        <ns0:v>87</ns0:v>
      </ns0:c>
      <ns0:c r="I40" s="24">
        <ns0:v>0</ns0:v>
      </ns0:c>
      <ns0:c r="J40"/>
    </ns0:row>
    <ns0:row r="41">
      <ns0:c r="A41" s="21">
        <ns0:v>5</ns0:v>
      </ns0:c>
      <ns0:c r="B41" s="21" t="s">
        <ns0:v>82</ns0:v>
      </ns0:c>
      <ns0:c r="C41" s="22" t="s">
        <ns0:v>89</ns0:v>
      </ns0:c>
      <ns0:c r="D41" s="21"/>
      <ns0:c r="E41" s="21" t="s">
        <ns0:v>84</ns0:v>
      </ns0:c>
      <ns0:c r="F41" s="24"/>
      <ns0:c r="G41" s="21">
        <ns0:v>15</ns0:v>
      </ns0:c>
      <ns0:c r="H41" s="21" t="s">
        <ns0:v>87</ns0:v>
      </ns0:c>
      <ns0:c r="I41" s="24">
        <ns0:v>0</ns0:v>
      </ns0:c>
      <ns0:c r="J41"/>
    </ns0:row>
    <ns0:row r="42">
      <ns0:c r="A42" s="21">
        <ns0:v>6</ns0:v>
      </ns0:c>
      <ns0:c r="B42" s="21" t="s">
        <ns0:v>82</ns0:v>
      </ns0:c>
      <ns0:c r="C42" s="22" t="s">
        <ns0:v>90</ns0:v>
      </ns0:c>
      <ns0:c r="D42" s="21"/>
      <ns0:c r="E42" s="21" t="s">
        <ns0:v>84</ns0:v>
      </ns0:c>
      <ns0:c r="F42" s="21"/>
      <ns0:c r="G42" s="21">
        <ns0:v>1</ns0:v>
      </ns0:c>
      <ns0:c r="H42" s="21">
        <ns0:v>45</ns0:v>
      </ns0:c>
      <ns0:c r="I42" s="21" t="n">
        <ns0:f>G42*H42</ns0:f>
        <ns0:v>45</ns0:v>
      </ns0:c>
      <ns0:c r="J42"/>
    </ns0:row>
    <ns0:row r="43">
      <ns0:c r="A43" s="21">
        <ns0:v>7</ns0:v>
      </ns0:c>
      <ns0:c r="B43" s="21" t="s">
        <ns0:v>82</ns0:v>
      </ns0:c>
      <ns0:c r="C43" s="22" t="s">
        <ns0:v>91</ns0:v>
      </ns0:c>
      <ns0:c r="D43" s="22"/>
      <ns0:c r="E43" s="21" t="s">
        <ns0:v>84</ns0:v>
      </ns0:c>
      <ns0:c r="F43" s="21"/>
      <ns0:c r="G43" s="21">
        <ns0:v>1</ns0:v>
      </ns0:c>
      <ns0:c r="H43" s="21">
        <ns0:v>17</ns0:v>
      </ns0:c>
      <ns0:c r="I43" s="21" t="n">
        <ns0:f>G43*H43</ns0:f>
        <ns0:v>17</ns0:v>
      </ns0:c>
      <ns0:c r="J43"/>
    </ns0:row>
    <ns0:row r="44">
      <ns0:c r="A44" s="21">
        <ns0:v>8</ns0:v>
      </ns0:c>
      <ns0:c r="B44" s="21" t="s">
        <ns0:v>82</ns0:v>
      </ns0:c>
      <ns0:c r="C44" s="22" t="s">
        <ns0:v>92</ns0:v>
      </ns0:c>
      <ns0:c r="D44" s="22"/>
      <ns0:c r="E44" s="21" t="s">
        <ns0:v>84</ns0:v>
      </ns0:c>
      <ns0:c r="F44" s="21"/>
      <ns0:c r="G44" s="21">
        <ns0:v>1</ns0:v>
      </ns0:c>
      <ns0:c r="H44" s="21">
        <ns0:v>83</ns0:v>
      </ns0:c>
      <ns0:c r="I44" s="21" t="n">
        <ns0:f>G44*H44</ns0:f>
        <ns0:v>83</ns0:v>
      </ns0:c>
      <ns0:c r="J44"/>
    </ns0:row>
    <ns0:row r="45">
      <ns0:c r="A45" s="21">
        <ns0:v>9</ns0:v>
      </ns0:c>
      <ns0:c r="B45" s="21" t="s">
        <ns0:v>82</ns0:v>
      </ns0:c>
      <ns0:c r="C45" s="22" t="s">
        <ns0:v>93</ns0:v>
      </ns0:c>
      <ns0:c r="D45" s="22"/>
      <ns0:c r="E45" s="21" t="s">
        <ns0:v>84</ns0:v>
      </ns0:c>
      <ns0:c r="F45" s="21"/>
      <ns0:c r="G45" s="21">
        <ns0:v>2</ns0:v>
      </ns0:c>
      <ns0:c r="H45" s="21">
        <ns0:v>1.6</ns0:v>
      </ns0:c>
      <ns0:c r="I45" s="21" t="n">
        <ns0:f>G45*H45</ns0:f>
        <ns0:v>3.2</ns0:v>
      </ns0:c>
      <ns0:c r="J45"/>
    </ns0:row>
    <ns0:row r="46">
      <ns0:c r="A46" s="21">
        <ns0:v>10</ns0:v>
      </ns0:c>
      <ns0:c r="B46" s="21" t="s">
        <ns0:v>82</ns0:v>
      </ns0:c>
      <ns0:c r="C46" s="22" t="s">
        <ns0:v>94</ns0:v>
      </ns0:c>
      <ns0:c r="D46" s="22"/>
      <ns0:c r="E46" s="21" t="s">
        <ns0:v>84</ns0:v>
      </ns0:c>
      <ns0:c r="F46" s="21"/>
      <ns0:c r="G46" s="21">
        <ns0:v>1</ns0:v>
      </ns0:c>
      <ns0:c r="H46" s="21" t="s">
        <ns0:v>87</ns0:v>
      </ns0:c>
      <ns0:c r="I46" s="21">
        <ns0:v>0</ns0:v>
      </ns0:c>
      <ns0:c r="J46" s="26" t="s">
        <ns0:v>95</ns0:v>
      </ns0:c>
    </ns0:row>
    <ns0:row r="47">
      <ns0:c r="A47" s="21">
        <ns0:v>11</ns0:v>
      </ns0:c>
      <ns0:c r="B47" s="21" t="s">
        <ns0:v>82</ns0:v>
      </ns0:c>
      <ns0:c r="C47" s="22" t="s">
        <ns0:v>96</ns0:v>
      </ns0:c>
      <ns0:c r="D47" s="22"/>
      <ns0:c r="E47" s="21" t="s">
        <ns0:v>97</ns0:v>
      </ns0:c>
      <ns0:c r="F47" s="21"/>
      <ns0:c r="G47" s="21">
        <ns0:v>1</ns0:v>
      </ns0:c>
      <ns0:c r="H47" s="21">
        <ns0:v>46.8</ns0:v>
      </ns0:c>
      <ns0:c r="I47" s="21" t="n">
        <ns0:f t="shared" ref="I47:I52" si="0">G47*H47</ns0:f>
        <ns0:v>46.8</ns0:v>
      </ns0:c>
      <ns0:c r="J47"/>
    </ns0:row>
    <ns0:row r="48">
      <ns0:c r="A48" s="21">
        <ns0:v>12</ns0:v>
      </ns0:c>
      <ns0:c r="B48" s="21" t="s">
        <ns0:v>82</ns0:v>
      </ns0:c>
      <ns0:c r="C48" s="22" t="s">
        <ns0:v>98</ns0:v>
      </ns0:c>
      <ns0:c r="D48" s="22"/>
      <ns0:c r="E48" s="21" t="s">
        <ns0:v>84</ns0:v>
      </ns0:c>
      <ns0:c r="F48" s="21"/>
      <ns0:c r="G48" s="21">
        <ns0:v>1</ns0:v>
      </ns0:c>
      <ns0:c r="H48" s="21">
        <ns0:v>49.5</ns0:v>
      </ns0:c>
      <ns0:c r="I48" s="21">
        <ns0:f t="shared" si="0"/>
        <ns0:v>49.5</ns0:v>
      </ns0:c>
      <ns0:c r="J48"/>
    </ns0:row>
    <ns0:row r="49">
      <ns0:c r="A49" s="21">
        <ns0:v>13</ns0:v>
      </ns0:c>
      <ns0:c r="B49" s="21" t="s">
        <ns0:v>82</ns0:v>
      </ns0:c>
      <ns0:c r="C49" s="22" t="s">
        <ns0:v>99</ns0:v>
      </ns0:c>
      <ns0:c r="D49" s="22"/>
      <ns0:c r="E49" s="21" t="s">
        <ns0:v>84</ns0:v>
      </ns0:c>
      <ns0:c r="F49" s="21"/>
      <ns0:c r="G49" s="21">
        <ns0:v>1</ns0:v>
      </ns0:c>
      <ns0:c r="H49" s="21">
        <ns0:v>3.8</ns0:v>
      </ns0:c>
      <ns0:c r="I49" s="21">
        <ns0:f t="shared" si="0"/>
        <ns0:v>3.8</ns0:v>
      </ns0:c>
      <ns0:c r="J49"/>
    </ns0:row>
    <ns0:row r="50" ht="21" customHeight="1">
      <ns0:c r="A50" s="21">
        <ns0:v>14</ns0:v>
      </ns0:c>
      <ns0:c r="B50" s="21" t="s">
        <ns0:v>82</ns0:v>
      </ns0:c>
      <ns0:c r="C50" s="22" t="s">
        <ns0:v>100</ns0:v>
      </ns0:c>
      <ns0:c r="D50" s="22"/>
      <ns0:c r="E50" s="21" t="s">
        <ns0:v>101</ns0:v>
      </ns0:c>
      <ns0:c r="F50" s="21"/>
      <ns0:c r="G50" s="28">
        <ns0:v>3</ns0:v>
      </ns0:c>
      <ns0:c r="H50" s="28">
        <ns0:v>2.8</ns0:v>
      </ns0:c>
      <ns0:c r="I50" s="21">
        <ns0:f t="shared" si="0"/>
        <ns0:v>8.4</ns0:v>
      </ns0:c>
      <ns0:c r="J50"/>
    </ns0:row>
    <ns0:row r="51" ht="25" customHeight="1">
      <ns0:c r="A51" s="21">
        <ns0:v>15</ns0:v>
      </ns0:c>
      <ns0:c r="B51" s="21" t="s">
        <ns0:v>82</ns0:v>
      </ns0:c>
      <ns0:c r="C51" s="22" t="s">
        <ns0:v>102</ns0:v>
      </ns0:c>
      <ns0:c r="D51" s="22"/>
      <ns0:c r="E51" s="21" t="s">
        <ns0:v>101</ns0:v>
      </ns0:c>
      <ns0:c r="F51" s="21"/>
      <ns0:c r="G51" s="28">
        <ns0:v>11</ns0:v>
      </ns0:c>
      <ns0:c r="H51" s="29">
        <ns0:v>3.5</ns0:v>
      </ns0:c>
      <ns0:c r="I51" s="21">
        <ns0:f t="shared" si="0"/>
        <ns0:v>38.5</ns0:v>
      </ns0:c>
      <ns0:c r="J51"/>
    </ns0:row>
    <ns0:row r="52" ht="29" customHeight="1">
      <ns0:c r="A52" s="21">
        <ns0:v>16</ns0:v>
      </ns0:c>
      <ns0:c r="B52" s="21" t="s">
        <ns0:v>82</ns0:v>
      </ns0:c>
      <ns0:c r="C52" s="22" t="s">
        <ns0:v>103</ns0:v>
      </ns0:c>
      <ns0:c r="D52" s="22" t="s">
        <ns0:v>104</ns0:v>
      </ns0:c>
      <ns0:c r="E52" s="21" t="s">
        <ns0:v>101</ns0:v>
      </ns0:c>
      <ns0:c r="F52" s="21"/>
      <ns0:c r="G52" s="21">
        <ns0:v>4</ns0:v>
      </ns0:c>
      <ns0:c r="H52" s="21">
        <ns0:v>0.88</ns0:v>
      </ns0:c>
      <ns0:c r="I52" s="21">
        <ns0:f t="shared" si="0"/>
        <ns0:v>3.52</ns0:v>
      </ns0:c>
      <ns0:c r="J52"/>
      <ns0:c r="K52" s="31"/>
    </ns0:row>
    <ns0:row r="53" ht="27" customHeight="1">
      <ns0:c r="A53" s="21">
        <ns0:v>17</ns0:v>
      </ns0:c>
      <ns0:c r="B53" s="21" t="s">
        <ns0:v>82</ns0:v>
      </ns0:c>
      <ns0:c r="C53" s="22" t="s">
        <ns0:v>105</ns0:v>
      </ns0:c>
      <ns0:c r="D53" s="22"/>
      <ns0:c r="E53" s="21" t="s">
        <ns0:v>101</ns0:v>
      </ns0:c>
      <ns0:c r="F53" s="21"/>
      <ns0:c r="G53" s="21" t="s">
        <ns0:v>106</ns0:v>
      </ns0:c>
      <ns0:c r="H53" s="21">
        <ns0:v>3.05</ns0:v>
      </ns0:c>
      <ns0:c r="I53" s="21">
        <ns0:v>3.05</ns0:v>
      </ns0:c>
      <ns0:c r="J53"/>
      <ns0:c r="K53" s="31"/>
    </ns0:row>
    <ns0:row r="54" ht="27" customHeight="1">
      <ns0:c r="A54" s="21">
        <ns0:v>18</ns0:v>
      </ns0:c>
      <ns0:c r="B54" s="21" t="s">
        <ns0:v>82</ns0:v>
      </ns0:c>
      <ns0:c r="C54" s="22" t="s">
        <ns0:v>107</ns0:v>
      </ns0:c>
      <ns0:c r="D54" s="22"/>
      <ns0:c r="E54" s="21" t="s">
        <ns0:v>101</ns0:v>
      </ns0:c>
      <ns0:c r="F54" s="21"/>
      <ns0:c r="G54" s="21" t="s">
        <ns0:v>106</ns0:v>
      </ns0:c>
      <ns0:c r="H54" s="21">
        <ns0:v>4.05</ns0:v>
      </ns0:c>
      <ns0:c r="I54" s="21">
        <ns0:v>4.05</ns0:v>
      </ns0:c>
      <ns0:c r="J54"/>
      <ns0:c r="K54" s="31"/>
    </ns0:row>
    <ns0:row r="55" ht="23" customHeight="1">
      <ns0:c r="A55" s="21">
        <ns0:v>19</ns0:v>
      </ns0:c>
      <ns0:c r="B55" s="21" t="s">
        <ns0:v>82</ns0:v>
      </ns0:c>
      <ns0:c r="C55" s="22" t="s">
        <ns0:v>108</ns0:v>
      </ns0:c>
      <ns0:c r="D55" s="22"/>
      <ns0:c r="E55" s="21" t="s">
        <ns0:v>101</ns0:v>
      </ns0:c>
      <ns0:c r="F55" s="21"/>
      <ns0:c r="G55" s="21" t="s">
        <ns0:v>106</ns0:v>
      </ns0:c>
      <ns0:c r="H55" s="21">
        <ns0:v>3.93</ns0:v>
      </ns0:c>
      <ns0:c r="I55" s="21">
        <ns0:v>3.93</ns0:v>
      </ns0:c>
      <ns0:c r="J55"/>
      <ns0:c r="K55" s="31"/>
    </ns0:row>
    <ns0:row r="56" ht="23" customHeight="1">
      <ns0:c r="A56" s="21">
        <ns0:v>20</ns0:v>
      </ns0:c>
      <ns0:c r="B56" s="21" t="s">
        <ns0:v>82</ns0:v>
      </ns0:c>
      <ns0:c r="C56" s="22" t="s">
        <ns0:v>109</ns0:v>
      </ns0:c>
      <ns0:c r="D56" s="22"/>
      <ns0:c r="E56" s="21" t="s">
        <ns0:v>101</ns0:v>
      </ns0:c>
      <ns0:c r="F56" s="21"/>
      <ns0:c r="G56" s="21" t="s">
        <ns0:v>106</ns0:v>
      </ns0:c>
      <ns0:c r="H56" s="21">
        <ns0:v>2.08</ns0:v>
      </ns0:c>
      <ns0:c r="I56" s="21">
        <ns0:v>2.08</ns0:v>
      </ns0:c>
      <ns0:c r="J56"/>
    </ns0:row>
    <ns0:row r="57">
      <ns0:c r="A57" s="21">
        <ns0:v>21</ns0:v>
      </ns0:c>
      <ns0:c r="B57" s="21" t="s">
        <ns0:v>82</ns0:v>
      </ns0:c>
      <ns0:c r="C57" s="22" t="s">
        <ns0:v>110</ns0:v>
      </ns0:c>
      <ns0:c r="D57" s="22"/>
      <ns0:c r="E57" s="21" t="s">
        <ns0:v>101</ns0:v>
      </ns0:c>
      <ns0:c r="F57" s="21"/>
      <ns0:c r="G57" s="21">
        <ns0:v>1</ns0:v>
      </ns0:c>
      <ns0:c r="H57" s="21">
        <ns0:v>9</ns0:v>
      </ns0:c>
      <ns0:c r="I57" s="21">
        <ns0:v>9</ns0:v>
      </ns0:c>
      <ns0:c r="J57"/>
    </ns0:row>
    <ns0:row r="58" ht="28" customHeight="1">
      <ns0:c r="A58" s="32" t="s">
        <ns0:v>111</ns0:v>
      </ns0:c>
      <ns0:c r="B58" s="33"/>
      <ns0:c r="C58" s="34"/>
      <ns0:c r="D58" s="35"/>
      <ns0:c r="E58" s="35"/>
      <ns0:c r="F58" s="35"/>
      <ns0:c r="G58" s="35"/>
      <ns0:c r="H58" s="35"/>
      <ns0:c r="I58" s="36" t="n">
        <ns0:f>SUM(I3:I57)</ns0:f>
        <ns0:v>828.8299999999998</ns0:v>
      </ns0:c>
      <ns0:c r="J58" s="37"/>
    </ns0:row>
    <ns0:row r="59">
      <ns0:c r="A59" s="38" t="str">
        <ns0:v>来源：机械行者Robo 装配BOM（2026-09-29），CC BY-NC-SA 4.0。FromAIToReality 于2026-10-11移除购物外链与拼团推广，保留原规格、数量及历史价格。历史价格不是现时报价。</ns0:v>
      </ns0:c>
      <ns0:c r="B59" s="39"/>
      <ns0:c r="C59" s="39"/>
      <ns0:c r="D59" s="39"/>
      <ns0:c r="E59" s="39"/>
      <ns0:c r="F59" s="39"/>
      <ns0:c r="G59" s="39"/>
      <ns0:c r="H59" s="39"/>
      <ns0:c r="I59" s="39"/>
    </ns0:row>
    <ns0:row r="60" ht="345" customHeight="1">
      <ns0:c r="A60" s="39"/>
      <ns0:c r="B60" s="39"/>
      <ns0:c r="C60" s="39"/>
      <ns0:c r="D60" s="39"/>
      <ns0:c r="E60" s="39"/>
      <ns0:c r="F60" s="39"/>
      <ns0:c r="G60" s="39"/>
      <ns0:c r="H60" s="39"/>
      <ns0:c r="I60" s="39"/>
    </ns0:row>
  </ns0:sheetData>
  <ns0:mergeCells>
    <ns0:mergeCell ref="A2:J2"/>
    <ns0:mergeCell ref="A58:C58"/>
    <ns0:mergeCell ref="I3:I35"/>
    <ns0:mergeCell ref="J3:J35"/>
    <ns0:mergeCell ref="A59:I60"/>
  </ns0:mergeCells>
  <ns0:pageMargins left="0.7" right="0.7" top="0.75" bottom="0.75" header="0.3" footer="0.3"/>
</ns0:worksheet>
</file>