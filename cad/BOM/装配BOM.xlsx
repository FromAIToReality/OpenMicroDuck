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1-机械臂--项目---陈\microduck-replica-cad\BOM\"/>
    </mc:Choice>
  </mc:AlternateContent>
  <bookViews>
    <workbookView windowWidth="28800" windowHeight="12375"/>
  </bookViews>
  <sheets>
    <sheet name="BOM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<ns0:sst xmlns:ns0="http://schemas.openxmlformats.org/spreadsheetml/2006/main" count="260" uniqueCount="133">
  <ns0:si>
    <ns0:t>序号</ns0:t>
  </ns0:si>
  <ns0:si>
    <ns0:t>类别</ns0:t>
  </ns0:si>
  <ns0:si>
    <ns0:t>名称</ns0:t>
  </ns0:si>
  <ns0:si>
    <ns0:t>原文件名</ns0:t>
  </ns0:si>
  <ns0:si>
    <ns0:t>材料</ns0:t>
  </ns0:si>
  <ns0:si>
    <ns0:t>数量</ns0:t>
  </ns0:si>
  <ns0:si>
    <ns0:t>单价</ns0:t>
  </ns0:si>
  <ns0:si>
    <ns0:t>总格</ns0:t>
  </ns0:si>
  <ns0:si>
    <ns0:t>网址</ns0:t>
  </ns0:si>
  <ns0:si>
    <ns0:t>一、3D打印件（需打印）</ns0:t>
  </ns0:si>
  <ns0:si>
    <ns0:t>3D打印件</ns0:t>
  </ns0:si>
  <ns0:si>
    <ns0:t>头部上壳</ns0:t>
  </ns0:si>
  <ns0:si>
    <ns0:t>top_head_shell_头部上壳.stp</ns0:t>
  </ns0:si>
  <ns0:si>
    <ns0:t>PLA</ns0:t>
  </ns0:si>
  <ns0:si>
    <ns0:t/>
  </ns0:si>
  <ns0:si>
    <ns0:t>头部下壳</ns0:t>
  </ns0:si>
  <ns0:si>
    <ns0:t>bottom_head_shell_头部下壳.stp</ns0:t>
  </ns0:si>
  <ns0:si>
    <ns0:t>面部零件</ns0:t>
  </ns0:si>
  <ns0:si>
    <ns0:t>face_part_面部零件.stp</ns0:t>
  </ns0:si>
  <ns0:si>
    <ns0:t>下巴</ns0:t>
  </ns0:si>
  <ns0:si>
    <ns0:t>jaw_下巴.stp</ns0:t>
  </ns0:si>
  <ns0:si>
    <ns0:t>软下巴</ns0:t>
  </ns0:si>
  <ns0:si>
    <ns0:t>jaw_soft_软下巴.stp</ns0:t>
  </ns0:si>
  <ns0:si>
    <ns0:t>建议改用TPU软料</ns0:t>
  </ns0:si>
  <ns0:si>
    <ns0:t>软嘴顶部</ns0:t>
  </ns0:si>
  <ns0:si>
    <ns0:t>soft_mouth_top_软嘴顶部.stp</ns0:t>
  </ns0:si>
  <ns0:si>
    <ns0:t>眼睛</ns0:t>
  </ns0:si>
  <ns0:si>
    <ns0:t>noenoeil_眼睛.stp</ns0:t>
  </ns0:si>
  <ns0:si>
    <ns0:t>颈部</ns0:t>
  </ns0:si>
  <ns0:si>
    <ns0:t>neck_颈部.stp</ns0:t>
  </ns0:si>
  <ns0:si>
    <ns0:t>建议铝合金</ns0:t>
  </ns0:si>
  <ns0:si>
    <ns0:t>颈部俯仰</ns0:t>
  </ns0:si>
  <ns0:si>
    <ns0:t>neck_pitch_颈部俯仰.stp</ns0:t>
  </ns0:si>
  <ns0:si>
    <ns0:t/>
  </ns0:si>
  <ns0:si>
    <ns0:t>躯干底座</ns0:t>
  </ns0:si>
  <ns0:si>
    <ns0:t>trunk_base_躯干底座.stp</ns0:t>
  </ns0:si>
  <ns0:si>
    <ns0:t>左壳</ns0:t>
  </ns0:si>
  <ns0:si>
    <ns0:t>left_shell_左壳.stp</ns0:t>
  </ns0:si>
  <ns0:si>
    <ns0:t>右壳</ns0:t>
  </ns0:si>
  <ns0:si>
    <ns0:t>right_shell_右壳.stp</ns0:t>
  </ns0:si>
  <ns0:si>
    <ns0:t>髋部左</ns0:t>
  </ns0:si>
  <ns0:si>
    <ns0:t>hip_l_髋部左.stp</ns0:t>
  </ns0:si>
  <ns0:si>
    <ns0:t>偏航转横滚</ns0:t>
  </ns0:si>
  <ns0:si>
    <ns0:t>yaw2roll_偏航转横滚.stp</ns0:t>
  </ns0:si>
  <ns0:si>
    <ns0:t>偏航横滚运动</ns0:t>
  </ns0:si>
  <ns0:si>
    <ns0:t>yaw_roll_motion_偏航横滚运动.stp</ns0:t>
  </ns0:si>
  <ns0:si>
    <ns0:t>腿部</ns0:t>
  </ns0:si>
  <ns0:si>
    <ns0:t>leg_腿部.stp</ns0:t>
  </ns0:si>
  <ns0:si>
    <ns0:t>左上腿</ns0:t>
  </ns0:si>
  <ns0:si>
    <ns0:t>left_upper_leg_左上腿.stp</ns0:t>
  </ns0:si>
  <ns0:si>
    <ns0:t>右上腿</ns0:t>
  </ns0:si>
  <ns0:si>
    <ns0:t>right_upper_leg_右上腿.stp</ns0:t>
  </ns0:si>
  <ns0:si>
    <ns0:t>上腿加固板</ns0:t>
  </ns0:si>
  <ns0:si>
    <ns0:t>upper_leg_rigidity_plate_上腿加固板.stp</ns0:t>
  </ns0:si>
  <ns0:si>
    <ns0:t>左脚</ns0:t>
  </ns0:si>
  <ns0:si>
    <ns0:t>foot_left_左脚.stp</ns0:t>
  </ns0:si>
  <ns0:si>
    <ns0:t>右脚</ns0:t>
  </ns0:si>
  <ns0:si>
    <ns0:t>foot_right_右脚.stp</ns0:t>
  </ns0:si>
  <ns0:si>
    <ns0:t>左脚底</ns0:t>
  </ns0:si>
  <ns0:si>
    <ns0:t>sole_left_左脚底.stp</ns0:t>
  </ns0:si>
  <ns0:si>
    <ns0:t>右脚底</ns0:t>
  </ns0:si>
  <ns0:si>
    <ns0:t>sole_right_右脚底.stp</ns0:t>
  </ns0:si>
  <ns0:si>
    <ns0:t>脚踝左</ns0:t>
  </ns0:si>
  <ns0:si>
    <ns0:t>ankle_left_脚踝左.stp</ns0:t>
  </ns0:si>
  <ns0:si>
    <ns0:t>脚踝右</ns0:t>
  </ns0:si>
  <ns0:si>
    <ns0:t>ankle_right_脚踝右.stp</ns0:t>
  </ns0:si>
  <ns0:si>
    <ns0:t>脚踝左(V1备选)</ns0:t>
  </ns0:si>
  <ns0:si>
    <ns0:t>ankle_l_v1_脚踝左V1.stp</ns0:t>
  </ns0:si>
  <ns0:si>
    <ns0:t>脚踝右(V1备选)</ns0:t>
  </ns0:si>
  <ns0:si>
    <ns0:t>ankle_r_v1_脚踝右V1.stp</ns0:t>
  </ns0:si>
  <ns0:si>
    <ns0:t>合体轮胎</ns0:t>
  </ns0:si>
  <ns0:si>
    <ns0:t>合体轮胎.stp</ns0:t>
  </ns0:si>
  <ns0:si>
    <ns0:t>滚轮叶片</ns0:t>
  </ns0:si>
  <ns0:si>
    <ns0:t>roller_blade_滚轮叶片.stp</ns0:t>
  </ns0:si>
  <ns0:si>
    <ns0:t>电机支架</ns0:t>
  </ns0:si>
  <ns0:si>
    <ns0:t>motor_support_电机支架.stp</ns0:t>
  </ns0:si>
  <ns0:si>
    <ns0:t>电源支架</ns0:t>
  </ns0:si>
  <ns0:si>
    <ns0:t>power_support_电源支架.stp</ns0:t>
  </ns0:si>
  <ns0:si>
    <ns0:t>香蕉形PCB锁扣</ns0:t>
  </ns0:si>
  <ns0:si>
    <ns0:t>banana_pcb_locker_香蕉形PCB锁扣.stp</ns0:t>
  </ns0:si>
  <ns0:si>
    <ns0:t>轴承滚轮</ns0:t>
  </ns0:si>
  <ns0:si>
    <ns0:t>bearing_roll_轴承滚轮.stp</ns0:t>
  </ns0:si>
  <ns0:si>
    <ns0:t>二、外购标准件（无需打印）</ns0:t>
  </ns0:si>
  <ns0:si>
    <ns0:t>外购件</ns0:t>
  </ns0:si>
  <ns0:si>
    <ns0:t>Radxa Zero 3W 主控板</ns0:t>
  </ns0:si>
  <ns0:si>
    <ns0:t>电子件</ns0:t>
  </ns0:si>
  <ns0:si>
    <ns0:t/>
  </ns0:si>
  <ns0:si>
    <ns0:t>64GB TF 卡</ns0:t>
  </ns0:si>
  <ns0:si>
    <ns0:t>树莓派机器人HAT电路板</ns0:t>
  </ns0:si>
  <ns0:si>
    <ns0:t/>
  </ns0:si>
  <ns0:si>
    <ns0:t>/</ns0:t>
  </ns0:si>
  <ns0:si>
    <ns0:t/>
  </ns0:si>
  <ns0:si>
    <ns0:t>imu_to_dxl电路板</ns0:t>
  </ns0:si>
  <ns0:si>
    <ns0:t/>
  </ns0:si>
  <ns0:si>
    <ns0:t>飞特HD1901M舵机</ns0:t>
  </ns0:si>
  <ns0:si>
    <ns0:t>飞特舵机URT2调试板</ns0:t>
  </ns0:si>
  <ns0:si>
    <ns0:t/>
  </ns0:si>
  <ns0:si>
    <ns0:t>NP-F550电池</ns0:t>
  </ns0:si>
  <ns0:si>
    <ns0:t/>
  </ns0:si>
  <ns0:si>
    <ns0:t>电池座</ns0:t>
  </ns0:si>
  <ns0:si>
    <ns0:t/>
  </ns0:si>
  <ns0:si>
    <ns0:t>2.5mm香蕉插头PCB铜镀金</ns0:t>
  </ns0:si>
  <ns0:si>
    <ns0:t/>
  </ns0:si>
  <ns0:si>
    <ns0:t>banana PCB</ns0:t>
  </ns0:si>
  <ns0:si>
    <ns0:t>嘉立创</ns0:t>
  </ns0:si>
  <ns0:si>
    <ns0:t>IMX219摄像头模块</ns0:t>
  </ns0:si>
  <ns0:si>
    <ns0:t>光学件</ns0:t>
  </ns0:si>
  <ns0:si>
    <ns0:t/>
  </ns0:si>
  <ns0:si>
    <ns0:t>VL53L8CX ToF 模块</ns0:t>
  </ns0:si>
  <ns0:si>
    <ns0:t/>
  </ns0:si>
  <ns0:si>
    <ns0:t>扬声器</ns0:t>
  </ns0:si>
  <ns0:si>
    <ns0:t/>
  </ns0:si>
  <ns0:si>
    <ns0:t>轴承 10×15×3</ns0:t>
  </ns0:si>
  <ns0:si>
    <ns0:t>标准件</ns0:t>
  </ns0:si>
  <ns0:si>
    <ns0:t/>
  </ns0:si>
  <ns0:si>
    <ns0:t>轴承 16×22×4</ns0:t>
  </ns0:si>
  <ns0:si>
    <ns0:t/>
  </ns0:si>
  <ns0:si>
    <ns0:t>轴承 6×12×3</ns0:t>
  </ns0:si>
  <ns0:si>
    <ns0:t>轮滑鞋用轴承</ns0:t>
  </ns0:si>
  <ns0:si>
    <ns0:t/>
  </ns0:si>
  <ns0:si>
    <ns0:t>螺丝M2×5</ns0:t>
  </ns0:si>
  <ns0:si>
    <ns0:t>1包</ns0:t>
  </ns0:si>
  <ns0:si>
    <ns0:t/>
  </ns0:si>
  <ns0:si>
    <ns0:t>螺丝M2×6</ns0:t>
  </ns0:si>
  <ns0:si>
    <ns0:t/>
  </ns0:si>
  <ns0:si>
    <ns0:t>螺丝M2.5×6</ns0:t>
  </ns0:si>
  <ns0:si>
    <ns0:t/>
  </ns0:si>
  <ns0:si>
    <ns0:t>螺丝M2.5×8</ns0:t>
  </ns0:si>
  <ns0:si>
    <ns0:t/>
  </ns0:si>
  <ns0:si>
    <ns0:t>乐泰螺纹胶243</ns0:t>
  </ns0:si>
  <ns0:si>
    <ns0:t/>
  </ns0:si>
  <ns0:si>
    <ns0:t>合计：3D打印件 33 项 / 外购件 21项</ns0:t>
  </ns0:si>
  <ns0:si>
    <ns0:t/>
  </ns0:si>
</ns0:sst>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1F3864"/>
      <name val="宋体"/>
      <charset val="134"/>
      <scheme val="minor"/>
    </font>
    <font>
      <sz val="9"/>
      <color rgb="FF59595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800080"/>
      <name val="宋体"/>
      <charset val="0"/>
      <scheme val="minor"/>
    </font>
    <font>
      <b/>
      <sz val="11"/>
      <name val="宋体"/>
      <charset val="134"/>
      <scheme val="minor"/>
    </font>
    <font>
      <sz val="20"/>
      <color rgb="FFFF000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FF0000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rgb="FFBFBFB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0" fillId="7" borderId="12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3">
      <alignment vertical="center"/>
    </xf>
    <xf numFmtId="0" fontId="15" fillId="0" borderId="13">
      <alignment vertical="center"/>
    </xf>
    <xf numFmtId="0" fontId="16" fillId="0" borderId="14">
      <alignment vertical="center"/>
    </xf>
    <xf numFmtId="0" fontId="16" fillId="0" borderId="0">
      <alignment vertical="center"/>
    </xf>
    <xf numFmtId="0" fontId="17" fillId="8" borderId="15">
      <alignment vertical="center"/>
    </xf>
    <xf numFmtId="0" fontId="18" fillId="9" borderId="16">
      <alignment vertical="center"/>
    </xf>
    <xf numFmtId="0" fontId="19" fillId="9" borderId="15">
      <alignment vertical="center"/>
    </xf>
    <xf numFmtId="0" fontId="20" fillId="10" borderId="17">
      <alignment vertical="center"/>
    </xf>
    <xf numFmtId="0" fontId="21" fillId="0" borderId="18">
      <alignment vertical="center"/>
    </xf>
    <xf numFmtId="0" fontId="22" fillId="0" borderId="19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7" fillId="35" borderId="0">
      <alignment vertical="center"/>
    </xf>
    <xf numFmtId="0" fontId="27" fillId="36" borderId="0">
      <alignment vertical="center"/>
    </xf>
    <xf numFmtId="0" fontId="26" fillId="37" borderId="0">
      <alignment vertical="center"/>
    </xf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 applyAlignment="1">
      <alignment horizontal="center" vertical="center" wrapText="1"/>
    </xf>
    <xf numFmtId="0" fontId="0" fillId="4" borderId="4" xfId="0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 vertical="center" wrapText="1"/>
    </xf>
    <xf numFmtId="0" fontId="4" fillId="0" borderId="0" xfId="6">
      <alignment vertical="center"/>
    </xf>
    <xf numFmtId="0" fontId="0" fillId="0" borderId="6" xfId="0" applyBorder="1"/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2" fillId="3" borderId="8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4" fillId="0" borderId="0" xfId="6" applyFill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0" borderId="0" xfId="6" applyFont="1">
      <alignment vertical="center"/>
    </xf>
    <xf numFmtId="0" fontId="8" fillId="0" borderId="0" xfId="6" applyFont="1">
      <alignment vertical="center"/>
    </xf>
    <xf numFmtId="0" fontId="7" fillId="0" borderId="0" xfId="6" applyFont="1" applyFill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7" fillId="5" borderId="2" xfId="6" applyFont="1" applyFill="1" applyBorder="1" applyAlignment="1">
      <alignment horizontal="left" vertical="center"/>
    </xf>
    <xf numFmtId="0" fontId="0" fillId="0" borderId="0" xfId="0" applyAlignment="1"/>
    <xf numFmtId="0" fontId="9" fillId="6" borderId="1" xfId="0" applyFont="1" applyFill="1" applyBorder="1" applyAlignment="1">
      <alignment horizontal="left" vertical="center"/>
    </xf>
    <xf numFmtId="0" fontId="0" fillId="0" borderId="10" xfId="0" applyBorder="1"/>
    <xf numFmtId="0" fontId="0" fillId="0" borderId="11" xfId="0" applyBorder="1"/>
    <xf numFmtId="0" fontId="0" fillId="6" borderId="1" xfId="0" applyFill="1" applyBorder="1"/>
    <xf numFmtId="0" fontId="10" fillId="6" borderId="1" xfId="0" applyFont="1" applyFill="1" applyBorder="1" applyAlignment="1">
      <alignment horizontal="center"/>
    </xf>
    <xf numFmtId="0" fontId="0" fillId="6" borderId="2" xfId="0" applyFill="1" applyBorder="1"/>
    <xf numFmtId="0" fontId="0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/>
  <ns0:dimension ref="A1:K60"/>
  <ns0:sheetViews>
    <ns0:sheetView tabSelected="1" workbookViewId="0">
      <ns0:pane ySplit="1" topLeftCell="A21" activePane="bottomLeft" state="frozen"/>
      <ns0:selection/>
      <ns0:selection pane="bottomLeft" activeCell="J60" sqref="J60"/>
    </ns0:sheetView>
  </ns0:sheetViews>
  <ns0:sheetFormatPr defaultColWidth="9" defaultRowHeight="13.5"/>
  <ns0:cols>
    <ns0:col min="1" max="1" width="6" customWidth="1"/>
    <ns0:col min="2" max="2" width="12" customWidth="1"/>
    <ns0:col min="3" max="3" width="22" customWidth="1"/>
    <ns0:col min="4" max="4" width="34.125" customWidth="1"/>
    <ns0:col min="5" max="6" width="13.375" customWidth="1"/>
    <ns0:col min="7" max="7" width="8" customWidth="1"/>
    <ns0:col min="8" max="8" width="19.875" customWidth="1"/>
    <ns0:col min="9" max="9" width="14.5" customWidth="1"/>
    <ns0:col min="10" max="10" width="49.75" customWidth="1"/>
  </ns0:cols>
  <ns0:sheetData>
    <ns0:row r="1" spans="1:10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1" t="s">
        <ns0:v>4</ns0:v>
      </ns0:c>
      <ns0:c r="F1" s="1"/>
      <ns0:c r="G1" s="1" t="s">
        <ns0:v>5</ns0:v>
      </ns0:c>
      <ns0:c r="H1" s="1" t="s">
        <ns0:v>6</ns0:v>
      </ns0:c>
      <ns0:c r="I1" s="1" t="s">
        <ns0:v>7</ns0:v>
      </ns0:c>
      <ns0:c r="J1" s="2" t="s">
        <ns0:v>8</ns0:v>
      </ns0:c>
    </ns0:row>
    <ns0:row r="2" spans="1:10">
      <ns0:c r="A2" s="3" t="s">
        <ns0:v>9</ns0:v>
      </ns0:c>
      <ns0:c r="B2" s="4"/>
      <ns0:c r="C2" s="4"/>
      <ns0:c r="D2" s="4"/>
      <ns0:c r="E2" s="4"/>
      <ns0:c r="F2" s="4"/>
      <ns0:c r="G2" s="4"/>
      <ns0:c r="H2" s="4"/>
      <ns0:c r="I2" s="4"/>
      <ns0:c r="J2" s="4"/>
    </ns0:row>
    <ns0:row r="3" spans="1:10">
      <ns0:c r="A3" s="5">
        <ns0:v>1</ns0:v>
      </ns0:c>
      <ns0:c r="B3" s="5" t="s">
        <ns0:v>10</ns0:v>
      </ns0:c>
      <ns0:c r="C3" s="6" t="s">
        <ns0:v>11</ns0:v>
      </ns0:c>
      <ns0:c r="D3" s="7" t="s">
        <ns0:v>12</ns0:v>
      </ns0:c>
      <ns0:c r="E3" s="5" t="s">
        <ns0:v>13</ns0:v>
      </ns0:c>
      <ns0:c r="F3" s="8"/>
      <ns0:c r="G3" s="5">
        <ns0:v>1</ns0:v>
      </ns0:c>
      <ns0:c r="H3" s="9"/>
      <ns0:c r="I3" s="10">
        <ns0:v>139</ns0:v>
      </ns0:c>
      <ns0:c r="J3" s="11"/>
    </ns0:row>
    <ns0:row r="4" spans="1:10">
      <ns0:c r="A4" s="5">
        <ns0:v>2</ns0:v>
      </ns0:c>
      <ns0:c r="B4" s="5" t="s">
        <ns0:v>10</ns0:v>
      </ns0:c>
      <ns0:c r="C4" s="6" t="s">
        <ns0:v>15</ns0:v>
      </ns0:c>
      <ns0:c r="D4" s="7" t="s">
        <ns0:v>16</ns0:v>
      </ns0:c>
      <ns0:c r="E4" s="5" t="s">
        <ns0:v>13</ns0:v>
      </ns0:c>
      <ns0:c r="F4" s="8"/>
      <ns0:c r="G4" s="5">
        <ns0:v>1</ns0:v>
      </ns0:c>
      <ns0:c r="H4" s="12"/>
      <ns0:c r="I4" s="13"/>
      <ns0:c r="J4" s="13"/>
    </ns0:row>
    <ns0:row r="5" spans="1:10">
      <ns0:c r="A5" s="5">
        <ns0:v>3</ns0:v>
      </ns0:c>
      <ns0:c r="B5" s="5" t="s">
        <ns0:v>10</ns0:v>
      </ns0:c>
      <ns0:c r="C5" s="6" t="s">
        <ns0:v>17</ns0:v>
      </ns0:c>
      <ns0:c r="D5" s="7" t="s">
        <ns0:v>18</ns0:v>
      </ns0:c>
      <ns0:c r="E5" s="5" t="s">
        <ns0:v>13</ns0:v>
      </ns0:c>
      <ns0:c r="F5" s="8"/>
      <ns0:c r="G5" s="5">
        <ns0:v>1</ns0:v>
      </ns0:c>
      <ns0:c r="H5" s="12"/>
      <ns0:c r="I5" s="13"/>
      <ns0:c r="J5" s="13"/>
    </ns0:row>
    <ns0:row r="6" spans="1:10">
      <ns0:c r="A6" s="5">
        <ns0:v>4</ns0:v>
      </ns0:c>
      <ns0:c r="B6" s="5" t="s">
        <ns0:v>10</ns0:v>
      </ns0:c>
      <ns0:c r="C6" s="6" t="s">
        <ns0:v>19</ns0:v>
      </ns0:c>
      <ns0:c r="D6" s="7" t="s">
        <ns0:v>20</ns0:v>
      </ns0:c>
      <ns0:c r="E6" s="5" t="s">
        <ns0:v>13</ns0:v>
      </ns0:c>
      <ns0:c r="F6" s="8"/>
      <ns0:c r="G6" s="5">
        <ns0:v>1</ns0:v>
      </ns0:c>
      <ns0:c r="H6" s="12"/>
      <ns0:c r="I6" s="13"/>
      <ns0:c r="J6" s="13"/>
    </ns0:row>
    <ns0:row r="7" ht="27" spans="1:10">
      <ns0:c r="A7" s="5">
        <ns0:v>5</ns0:v>
      </ns0:c>
      <ns0:c r="B7" s="5" t="s">
        <ns0:v>10</ns0:v>
      </ns0:c>
      <ns0:c r="C7" s="6" t="s">
        <ns0:v>21</ns0:v>
      </ns0:c>
      <ns0:c r="D7" s="7" t="s">
        <ns0:v>22</ns0:v>
      </ns0:c>
      <ns0:c r="E7" s="5" t="s">
        <ns0:v>13</ns0:v>
      </ns0:c>
      <ns0:c r="F7" s="14" t="s">
        <ns0:v>23</ns0:v>
      </ns0:c>
      <ns0:c r="G7" s="5">
        <ns0:v>1</ns0:v>
      </ns0:c>
      <ns0:c r="H7" s="15"/>
      <ns0:c r="I7" s="13"/>
      <ns0:c r="J7" s="13"/>
    </ns0:row>
    <ns0:row r="8" ht="27" spans="1:10">
      <ns0:c r="A8" s="5">
        <ns0:v>6</ns0:v>
      </ns0:c>
      <ns0:c r="B8" s="5" t="s">
        <ns0:v>10</ns0:v>
      </ns0:c>
      <ns0:c r="C8" s="16" t="s">
        <ns0:v>24</ns0:v>
      </ns0:c>
      <ns0:c r="D8" s="7" t="s">
        <ns0:v>25</ns0:v>
      </ns0:c>
      <ns0:c r="E8" s="5" t="s">
        <ns0:v>13</ns0:v>
      </ns0:c>
      <ns0:c r="F8" s="14" t="s">
        <ns0:v>23</ns0:v>
      </ns0:c>
      <ns0:c r="G8" s="5">
        <ns0:v>1</ns0:v>
      </ns0:c>
      <ns0:c r="H8" s="15"/>
      <ns0:c r="I8" s="13"/>
      <ns0:c r="J8" s="13"/>
    </ns0:row>
    <ns0:row r="9" spans="1:10">
      <ns0:c r="A9" s="5">
        <ns0:v>7</ns0:v>
      </ns0:c>
      <ns0:c r="B9" s="5" t="s">
        <ns0:v>10</ns0:v>
      </ns0:c>
      <ns0:c r="C9" s="6" t="s">
        <ns0:v>26</ns0:v>
      </ns0:c>
      <ns0:c r="D9" s="7" t="s">
        <ns0:v>27</ns0:v>
      </ns0:c>
      <ns0:c r="E9" s="5" t="s">
        <ns0:v>13</ns0:v>
      </ns0:c>
      <ns0:c r="F9" s="14"/>
      <ns0:c r="G9" s="5">
        <ns0:v>1</ns0:v>
      </ns0:c>
      <ns0:c r="H9" s="15"/>
      <ns0:c r="I9" s="13"/>
      <ns0:c r="J9" s="13"/>
    </ns0:row>
    <ns0:row r="10" spans="1:10">
      <ns0:c r="A10" s="5">
        <ns0:v>8</ns0:v>
      </ns0:c>
      <ns0:c r="B10" s="5" t="s">
        <ns0:v>10</ns0:v>
      </ns0:c>
      <ns0:c r="C10" s="6" t="s">
        <ns0:v>28</ns0:v>
      </ns0:c>
      <ns0:c r="D10" s="7" t="s">
        <ns0:v>29</ns0:v>
      </ns0:c>
      <ns0:c r="E10" s="5" t="s">
        <ns0:v>13</ns0:v>
      </ns0:c>
      <ns0:c r="F10" s="14" t="s">
        <ns0:v>30</ns0:v>
      </ns0:c>
      <ns0:c r="G10" s="5">
        <ns0:v>2</ns0:v>
      </ns0:c>
      <ns0:c r="H10" s="15"/>
      <ns0:c r="I10" s="13"/>
      <ns0:c r="J10" s="13"/>
    </ns0:row>
    <ns0:row r="11" spans="1:10">
      <ns0:c r="A11" s="5">
        <ns0:v>9</ns0:v>
      </ns0:c>
      <ns0:c r="B11" s="5" t="s">
        <ns0:v>10</ns0:v>
      </ns0:c>
      <ns0:c r="C11" s="6" t="s">
        <ns0:v>31</ns0:v>
      </ns0:c>
      <ns0:c r="D11" s="7" t="s">
        <ns0:v>32</ns0:v>
      </ns0:c>
      <ns0:c r="E11" s="5" t="s">
        <ns0:v>13</ns0:v>
      </ns0:c>
      <ns0:c r="F11" s="14" t="s">
        <ns0:v>33</ns0:v>
      </ns0:c>
      <ns0:c r="G11" s="5">
        <ns0:v>1</ns0:v>
      </ns0:c>
      <ns0:c r="H11" s="15"/>
      <ns0:c r="I11" s="13"/>
      <ns0:c r="J11" s="13"/>
    </ns0:row>
    <ns0:row r="12" spans="1:10">
      <ns0:c r="A12" s="5">
        <ns0:v>10</ns0:v>
      </ns0:c>
      <ns0:c r="B12" s="5" t="s">
        <ns0:v>10</ns0:v>
      </ns0:c>
      <ns0:c r="C12" s="6" t="s">
        <ns0:v>34</ns0:v>
      </ns0:c>
      <ns0:c r="D12" s="7" t="s">
        <ns0:v>35</ns0:v>
      </ns0:c>
      <ns0:c r="E12" s="5" t="s">
        <ns0:v>13</ns0:v>
      </ns0:c>
      <ns0:c r="F12" s="14" t="s">
        <ns0:v>30</ns0:v>
      </ns0:c>
      <ns0:c r="G12" s="5">
        <ns0:v>1</ns0:v>
      </ns0:c>
      <ns0:c r="H12" s="15"/>
      <ns0:c r="I12" s="13"/>
      <ns0:c r="J12" s="13"/>
    </ns0:row>
    <ns0:row r="13" spans="1:10">
      <ns0:c r="A13" s="5">
        <ns0:v>11</ns0:v>
      </ns0:c>
      <ns0:c r="B13" s="5" t="s">
        <ns0:v>10</ns0:v>
      </ns0:c>
      <ns0:c r="C13" s="6" t="s">
        <ns0:v>36</ns0:v>
      </ns0:c>
      <ns0:c r="D13" s="7" t="s">
        <ns0:v>37</ns0:v>
      </ns0:c>
      <ns0:c r="E13" s="5" t="s">
        <ns0:v>13</ns0:v>
      </ns0:c>
      <ns0:c r="F13" s="14" t="s">
        <ns0:v>33</ns0:v>
      </ns0:c>
      <ns0:c r="G13" s="5">
        <ns0:v>1</ns0:v>
      </ns0:c>
      <ns0:c r="H13" s="15"/>
      <ns0:c r="I13" s="13"/>
      <ns0:c r="J13" s="13"/>
    </ns0:row>
    <ns0:row r="14" spans="1:10">
      <ns0:c r="A14" s="5">
        <ns0:v>12</ns0:v>
      </ns0:c>
      <ns0:c r="B14" s="5" t="s">
        <ns0:v>10</ns0:v>
      </ns0:c>
      <ns0:c r="C14" s="6" t="s">
        <ns0:v>38</ns0:v>
      </ns0:c>
      <ns0:c r="D14" s="7" t="s">
        <ns0:v>39</ns0:v>
      </ns0:c>
      <ns0:c r="E14" s="5" t="s">
        <ns0:v>13</ns0:v>
      </ns0:c>
      <ns0:c r="F14" s="14" t="s">
        <ns0:v>33</ns0:v>
      </ns0:c>
      <ns0:c r="G14" s="5">
        <ns0:v>1</ns0:v>
      </ns0:c>
      <ns0:c r="H14" s="15"/>
      <ns0:c r="I14" s="13"/>
      <ns0:c r="J14" s="13"/>
    </ns0:row>
    <ns0:row r="15" spans="1:10">
      <ns0:c r="A15" s="5">
        <ns0:v>13</ns0:v>
      </ns0:c>
      <ns0:c r="B15" s="5" t="s">
        <ns0:v>10</ns0:v>
      </ns0:c>
      <ns0:c r="C15" s="6" t="s">
        <ns0:v>40</ns0:v>
      </ns0:c>
      <ns0:c r="D15" s="7" t="s">
        <ns0:v>41</ns0:v>
      </ns0:c>
      <ns0:c r="E15" s="5" t="s">
        <ns0:v>13</ns0:v>
      </ns0:c>
      <ns0:c r="F15" s="14"/>
      <ns0:c r="G15" s="5">
        <ns0:v>2</ns0:v>
      </ns0:c>
      <ns0:c r="H15" s="15"/>
      <ns0:c r="I15" s="13"/>
      <ns0:c r="J15" s="13"/>
    </ns0:row>
    <ns0:row r="16" spans="1:10">
      <ns0:c r="A16" s="5">
        <ns0:v>14</ns0:v>
      </ns0:c>
      <ns0:c r="B16" s="5" t="s">
        <ns0:v>10</ns0:v>
      </ns0:c>
      <ns0:c r="C16" s="6" t="s">
        <ns0:v>42</ns0:v>
      </ns0:c>
      <ns0:c r="D16" s="7" t="s">
        <ns0:v>43</ns0:v>
      </ns0:c>
      <ns0:c r="E16" s="5" t="s">
        <ns0:v>13</ns0:v>
      </ns0:c>
      <ns0:c r="F16" s="14" t="s">
        <ns0:v>33</ns0:v>
      </ns0:c>
      <ns0:c r="G16" s="5">
        <ns0:v>1</ns0:v>
      </ns0:c>
      <ns0:c r="H16" s="15"/>
      <ns0:c r="I16" s="13"/>
      <ns0:c r="J16" s="13"/>
    </ns0:row>
    <ns0:row r="17" spans="1:10">
      <ns0:c r="A17" s="5">
        <ns0:v>15</ns0:v>
      </ns0:c>
      <ns0:c r="B17" s="5" t="s">
        <ns0:v>10</ns0:v>
      </ns0:c>
      <ns0:c r="C17" s="6" t="s">
        <ns0:v>44</ns0:v>
      </ns0:c>
      <ns0:c r="D17" s="7" t="s">
        <ns0:v>45</ns0:v>
      </ns0:c>
      <ns0:c r="E17" s="5" t="s">
        <ns0:v>13</ns0:v>
      </ns0:c>
      <ns0:c r="F17" s="14"/>
      <ns0:c r="G17" s="5">
        <ns0:v>1</ns0:v>
      </ns0:c>
      <ns0:c r="H17" s="15"/>
      <ns0:c r="I17" s="13"/>
      <ns0:c r="J17" s="13"/>
    </ns0:row>
    <ns0:row r="18" spans="1:10">
      <ns0:c r="A18" s="5">
        <ns0:v>16</ns0:v>
      </ns0:c>
      <ns0:c r="B18" s="5" t="s">
        <ns0:v>10</ns0:v>
      </ns0:c>
      <ns0:c r="C18" s="6" t="s">
        <ns0:v>46</ns0:v>
      </ns0:c>
      <ns0:c r="D18" s="7" t="s">
        <ns0:v>47</ns0:v>
      </ns0:c>
      <ns0:c r="E18" s="5" t="s">
        <ns0:v>13</ns0:v>
      </ns0:c>
      <ns0:c r="F18" s="14"/>
      <ns0:c r="G18" s="5">
        <ns0:v>2</ns0:v>
      </ns0:c>
      <ns0:c r="H18" s="15"/>
      <ns0:c r="I18" s="13"/>
      <ns0:c r="J18" s="13"/>
    </ns0:row>
    <ns0:row r="19" spans="1:10">
      <ns0:c r="A19" s="5">
        <ns0:v>17</ns0:v>
      </ns0:c>
      <ns0:c r="B19" s="5" t="s">
        <ns0:v>10</ns0:v>
      </ns0:c>
      <ns0:c r="C19" s="6" t="s">
        <ns0:v>48</ns0:v>
      </ns0:c>
      <ns0:c r="D19" s="7" t="s">
        <ns0:v>49</ns0:v>
      </ns0:c>
      <ns0:c r="E19" s="5" t="s">
        <ns0:v>13</ns0:v>
      </ns0:c>
      <ns0:c r="F19" s="14"/>
      <ns0:c r="G19" s="5">
        <ns0:v>1</ns0:v>
      </ns0:c>
      <ns0:c r="H19" s="15"/>
      <ns0:c r="I19" s="13"/>
      <ns0:c r="J19" s="13"/>
    </ns0:row>
    <ns0:row r="20" spans="1:10">
      <ns0:c r="A20" s="5">
        <ns0:v>18</ns0:v>
      </ns0:c>
      <ns0:c r="B20" s="5" t="s">
        <ns0:v>10</ns0:v>
      </ns0:c>
      <ns0:c r="C20" s="6" t="s">
        <ns0:v>50</ns0:v>
      </ns0:c>
      <ns0:c r="D20" s="7" t="s">
        <ns0:v>51</ns0:v>
      </ns0:c>
      <ns0:c r="E20" s="5" t="s">
        <ns0:v>13</ns0:v>
      </ns0:c>
      <ns0:c r="F20" s="14"/>
      <ns0:c r="G20" s="5">
        <ns0:v>1</ns0:v>
      </ns0:c>
      <ns0:c r="H20" s="15"/>
      <ns0:c r="I20" s="13"/>
      <ns0:c r="J20" s="13"/>
    </ns0:row>
    <ns0:row r="21" spans="1:10">
      <ns0:c r="A21" s="5">
        <ns0:v>19</ns0:v>
      </ns0:c>
      <ns0:c r="B21" s="5" t="s">
        <ns0:v>10</ns0:v>
      </ns0:c>
      <ns0:c r="C21" s="6" t="s">
        <ns0:v>52</ns0:v>
      </ns0:c>
      <ns0:c r="D21" s="7" t="s">
        <ns0:v>53</ns0:v>
      </ns0:c>
      <ns0:c r="E21" s="5" t="s">
        <ns0:v>13</ns0:v>
      </ns0:c>
      <ns0:c r="F21" s="14" t="s">
        <ns0:v>30</ns0:v>
      </ns0:c>
      <ns0:c r="G21" s="5">
        <ns0:v>2</ns0:v>
      </ns0:c>
      <ns0:c r="H21" s="15"/>
      <ns0:c r="I21" s="13"/>
      <ns0:c r="J21" s="13"/>
    </ns0:row>
    <ns0:row r="22" spans="1:10">
      <ns0:c r="A22" s="5">
        <ns0:v>20</ns0:v>
      </ns0:c>
      <ns0:c r="B22" s="5" t="s">
        <ns0:v>10</ns0:v>
      </ns0:c>
      <ns0:c r="C22" s="6" t="s">
        <ns0:v>54</ns0:v>
      </ns0:c>
      <ns0:c r="D22" s="7" t="s">
        <ns0:v>55</ns0:v>
      </ns0:c>
      <ns0:c r="E22" s="5" t="s">
        <ns0:v>13</ns0:v>
      </ns0:c>
      <ns0:c r="F22" s="14" t="s">
        <ns0:v>33</ns0:v>
      </ns0:c>
      <ns0:c r="G22" s="5">
        <ns0:v>1</ns0:v>
      </ns0:c>
      <ns0:c r="H22" s="15"/>
      <ns0:c r="I22" s="13"/>
      <ns0:c r="J22" s="13"/>
    </ns0:row>
    <ns0:row r="23" spans="1:10">
      <ns0:c r="A23" s="5">
        <ns0:v>21</ns0:v>
      </ns0:c>
      <ns0:c r="B23" s="5" t="s">
        <ns0:v>10</ns0:v>
      </ns0:c>
      <ns0:c r="C23" s="6" t="s">
        <ns0:v>56</ns0:v>
      </ns0:c>
      <ns0:c r="D23" s="7" t="s">
        <ns0:v>57</ns0:v>
      </ns0:c>
      <ns0:c r="E23" s="5" t="s">
        <ns0:v>13</ns0:v>
      </ns0:c>
      <ns0:c r="F23" s="14" t="s">
        <ns0:v>33</ns0:v>
      </ns0:c>
      <ns0:c r="G23" s="5">
        <ns0:v>1</ns0:v>
      </ns0:c>
      <ns0:c r="H23" s="15"/>
      <ns0:c r="I23" s="13"/>
      <ns0:c r="J23" s="13"/>
    </ns0:row>
    <ns0:row r="24" spans="1:10">
      <ns0:c r="A24" s="5">
        <ns0:v>22</ns0:v>
      </ns0:c>
      <ns0:c r="B24" s="5" t="s">
        <ns0:v>10</ns0:v>
      </ns0:c>
      <ns0:c r="C24" s="6" t="s">
        <ns0:v>58</ns0:v>
      </ns0:c>
      <ns0:c r="D24" s="7" t="s">
        <ns0:v>59</ns0:v>
      </ns0:c>
      <ns0:c r="E24" s="5" t="s">
        <ns0:v>13</ns0:v>
      </ns0:c>
      <ns0:c r="F24" s="14" t="s">
        <ns0:v>33</ns0:v>
      </ns0:c>
      <ns0:c r="G24" s="5">
        <ns0:v>1</ns0:v>
      </ns0:c>
      <ns0:c r="H24" s="15"/>
      <ns0:c r="I24" s="13"/>
      <ns0:c r="J24" s="13"/>
    </ns0:row>
    <ns0:row r="25" spans="1:10">
      <ns0:c r="A25" s="5">
        <ns0:v>23</ns0:v>
      </ns0:c>
      <ns0:c r="B25" s="5" t="s">
        <ns0:v>10</ns0:v>
      </ns0:c>
      <ns0:c r="C25" s="6" t="s">
        <ns0:v>60</ns0:v>
      </ns0:c>
      <ns0:c r="D25" s="7" t="s">
        <ns0:v>61</ns0:v>
      </ns0:c>
      <ns0:c r="E25" s="5" t="s">
        <ns0:v>13</ns0:v>
      </ns0:c>
      <ns0:c r="F25" s="14" t="s">
        <ns0:v>33</ns0:v>
      </ns0:c>
      <ns0:c r="G25" s="5">
        <ns0:v>1</ns0:v>
      </ns0:c>
      <ns0:c r="H25" s="15"/>
      <ns0:c r="I25" s="13"/>
      <ns0:c r="J25" s="13"/>
    </ns0:row>
    <ns0:row r="26" spans="1:10">
      <ns0:c r="A26" s="5">
        <ns0:v>24</ns0:v>
      </ns0:c>
      <ns0:c r="B26" s="5" t="s">
        <ns0:v>10</ns0:v>
      </ns0:c>
      <ns0:c r="C26" s="6" t="s">
        <ns0:v>62</ns0:v>
      </ns0:c>
      <ns0:c r="D26" s="7" t="s">
        <ns0:v>63</ns0:v>
      </ns0:c>
      <ns0:c r="E26" s="5" t="s">
        <ns0:v>13</ns0:v>
      </ns0:c>
      <ns0:c r="F26" s="14" t="s">
        <ns0:v>33</ns0:v>
      </ns0:c>
      <ns0:c r="G26" s="5">
        <ns0:v>1</ns0:v>
      </ns0:c>
      <ns0:c r="H26" s="15"/>
      <ns0:c r="I26" s="13"/>
      <ns0:c r="J26" s="13"/>
    </ns0:row>
    <ns0:row r="27" spans="1:10">
      <ns0:c r="A27" s="5">
        <ns0:v>25</ns0:v>
      </ns0:c>
      <ns0:c r="B27" s="5" t="s">
        <ns0:v>10</ns0:v>
      </ns0:c>
      <ns0:c r="C27" s="6" t="s">
        <ns0:v>64</ns0:v>
      </ns0:c>
      <ns0:c r="D27" s="7" t="s">
        <ns0:v>65</ns0:v>
      </ns0:c>
      <ns0:c r="E27" s="5" t="s">
        <ns0:v>13</ns0:v>
      </ns0:c>
      <ns0:c r="F27" s="14" t="s">
        <ns0:v>33</ns0:v>
      </ns0:c>
      <ns0:c r="G27" s="5">
        <ns0:v>1</ns0:v>
      </ns0:c>
      <ns0:c r="H27" s="15"/>
      <ns0:c r="I27" s="13"/>
      <ns0:c r="J27" s="13"/>
    </ns0:row>
    <ns0:row r="28" spans="1:10">
      <ns0:c r="A28" s="5">
        <ns0:v>26</ns0:v>
      </ns0:c>
      <ns0:c r="B28" s="5" t="s">
        <ns0:v>10</ns0:v>
      </ns0:c>
      <ns0:c r="C28" s="6" t="s">
        <ns0:v>66</ns0:v>
      </ns0:c>
      <ns0:c r="D28" s="7" t="s">
        <ns0:v>67</ns0:v>
      </ns0:c>
      <ns0:c r="E28" s="5" t="s">
        <ns0:v>13</ns0:v>
      </ns0:c>
      <ns0:c r="F28" s="14"/>
      <ns0:c r="G28" s="5">
        <ns0:v>1</ns0:v>
      </ns0:c>
      <ns0:c r="H28" s="15"/>
      <ns0:c r="I28" s="13"/>
      <ns0:c r="J28" s="13"/>
    </ns0:row>
    <ns0:row r="29" spans="1:10">
      <ns0:c r="A29" s="5">
        <ns0:v>27</ns0:v>
      </ns0:c>
      <ns0:c r="B29" s="5" t="s">
        <ns0:v>10</ns0:v>
      </ns0:c>
      <ns0:c r="C29" s="6" t="s">
        <ns0:v>68</ns0:v>
      </ns0:c>
      <ns0:c r="D29" s="7" t="s">
        <ns0:v>69</ns0:v>
      </ns0:c>
      <ns0:c r="E29" s="5" t="s">
        <ns0:v>13</ns0:v>
      </ns0:c>
      <ns0:c r="F29" s="14"/>
      <ns0:c r="G29" s="5">
        <ns0:v>1</ns0:v>
      </ns0:c>
      <ns0:c r="H29" s="15"/>
      <ns0:c r="I29" s="13"/>
      <ns0:c r="J29" s="13"/>
    </ns0:row>
    <ns0:row r="30" spans="1:10">
      <ns0:c r="A30" s="5">
        <ns0:v>28</ns0:v>
      </ns0:c>
      <ns0:c r="B30" s="5" t="s">
        <ns0:v>10</ns0:v>
      </ns0:c>
      <ns0:c r="C30" s="6" t="s">
        <ns0:v>70</ns0:v>
      </ns0:c>
      <ns0:c r="D30" s="7" t="s">
        <ns0:v>71</ns0:v>
      </ns0:c>
      <ns0:c r="E30" s="5" t="s">
        <ns0:v>13</ns0:v>
      </ns0:c>
      <ns0:c r="F30" s="14"/>
      <ns0:c r="G30" s="5">
        <ns0:v>4</ns0:v>
      </ns0:c>
      <ns0:c r="H30" s="15"/>
      <ns0:c r="I30" s="13"/>
      <ns0:c r="J30" s="13"/>
    </ns0:row>
    <ns0:row r="31" spans="1:10">
      <ns0:c r="A31" s="5">
        <ns0:v>29</ns0:v>
      </ns0:c>
      <ns0:c r="B31" s="5" t="s">
        <ns0:v>10</ns0:v>
      </ns0:c>
      <ns0:c r="C31" s="6" t="s">
        <ns0:v>72</ns0:v>
      </ns0:c>
      <ns0:c r="D31" s="7" t="s">
        <ns0:v>73</ns0:v>
      </ns0:c>
      <ns0:c r="E31" s="5" t="s">
        <ns0:v>13</ns0:v>
      </ns0:c>
      <ns0:c r="F31" s="14"/>
      <ns0:c r="G31" s="5">
        <ns0:v>2</ns0:v>
      </ns0:c>
      <ns0:c r="H31" s="15"/>
      <ns0:c r="I31" s="13"/>
      <ns0:c r="J31" s="13"/>
    </ns0:row>
    <ns0:row r="32" spans="1:10">
      <ns0:c r="A32" s="5">
        <ns0:v>30</ns0:v>
      </ns0:c>
      <ns0:c r="B32" s="5" t="s">
        <ns0:v>10</ns0:v>
      </ns0:c>
      <ns0:c r="C32" s="6" t="s">
        <ns0:v>74</ns0:v>
      </ns0:c>
      <ns0:c r="D32" s="7" t="s">
        <ns0:v>75</ns0:v>
      </ns0:c>
      <ns0:c r="E32" s="5" t="s">
        <ns0:v>13</ns0:v>
      </ns0:c>
      <ns0:c r="F32" s="14" t="s">
        <ns0:v>33</ns0:v>
      </ns0:c>
      <ns0:c r="G32" s="5">
        <ns0:v>1</ns0:v>
      </ns0:c>
      <ns0:c r="H32" s="15"/>
      <ns0:c r="I32" s="13"/>
      <ns0:c r="J32" s="13"/>
    </ns0:row>
    <ns0:row r="33" spans="1:10">
      <ns0:c r="A33" s="5">
        <ns0:v>31</ns0:v>
      </ns0:c>
      <ns0:c r="B33" s="5" t="s">
        <ns0:v>10</ns0:v>
      </ns0:c>
      <ns0:c r="C33" s="6" t="s">
        <ns0:v>76</ns0:v>
      </ns0:c>
      <ns0:c r="D33" s="7" t="s">
        <ns0:v>77</ns0:v>
      </ns0:c>
      <ns0:c r="E33" s="5" t="s">
        <ns0:v>13</ns0:v>
      </ns0:c>
      <ns0:c r="F33" s="14" t="s">
        <ns0:v>33</ns0:v>
      </ns0:c>
      <ns0:c r="G33" s="5">
        <ns0:v>1</ns0:v>
      </ns0:c>
      <ns0:c r="H33" s="15"/>
      <ns0:c r="I33" s="13"/>
      <ns0:c r="J33" s="13"/>
    </ns0:row>
    <ns0:row r="34" ht="27" customHeight="1" spans="1:10">
      <ns0:c r="A34" s="5">
        <ns0:v>32</ns0:v>
      </ns0:c>
      <ns0:c r="B34" s="5" t="s">
        <ns0:v>10</ns0:v>
      </ns0:c>
      <ns0:c r="C34" s="6" t="s">
        <ns0:v>78</ns0:v>
      </ns0:c>
      <ns0:c r="D34" s="14" t="s">
        <ns0:v>79</ns0:v>
      </ns0:c>
      <ns0:c r="E34" s="5" t="s">
        <ns0:v>13</ns0:v>
      </ns0:c>
      <ns0:c r="F34" s="5"/>
      <ns0:c r="G34" s="5">
        <ns0:v>1</ns0:v>
      </ns0:c>
      <ns0:c r="H34" s="13"/>
      <ns0:c r="I34" s="13"/>
      <ns0:c r="J34" s="13"/>
    </ns0:row>
    <ns0:row r="35" spans="1:10">
      <ns0:c r="A35" s="5">
        <ns0:v>33</ns0:v>
      </ns0:c>
      <ns0:c r="B35" s="5" t="s">
        <ns0:v>10</ns0:v>
      </ns0:c>
      <ns0:c r="C35" s="14" t="s">
        <ns0:v>80</ns0:v>
      </ns0:c>
      <ns0:c r="D35" s="14" t="s">
        <ns0:v>81</ns0:v>
      </ns0:c>
      <ns0:c r="E35" s="5" t="s">
        <ns0:v>13</ns0:v>
      </ns0:c>
      <ns0:c r="F35" s="14" t="s">
        <ns0:v>30</ns0:v>
      </ns0:c>
      <ns0:c r="G35" s="5">
        <ns0:v>2</ns0:v>
      </ns0:c>
      <ns0:c r="H35" s="17"/>
      <ns0:c r="I35" s="18"/>
      <ns0:c r="J35" s="18"/>
    </ns0:row>
    <ns0:row r="36" spans="1:10">
      <ns0:c r="A36" s="19" t="s">
        <ns0:v>82</ns0:v>
      </ns0:c>
      <ns0:c r="B36" s="19"/>
      <ns0:c r="C36" s="19"/>
      <ns0:c r="D36" s="19"/>
      <ns0:c r="E36" s="19"/>
      <ns0:c r="F36" s="19"/>
      <ns0:c r="G36" s="19"/>
      <ns0:c r="H36" s="19"/>
      <ns0:c r="I36" s="19">
        <ns0:v>0</ns0:v>
      </ns0:c>
      <ns0:c r="J36" s="20" t="s">
        <ns0:v>8</ns0:v>
      </ns0:c>
    </ns0:row>
    <ns0:row r="37" spans="1:10">
      <ns0:c r="A37" s="21">
        <ns0:v>1</ns0:v>
      </ns0:c>
      <ns0:c r="B37" s="21" t="s">
        <ns0:v>83</ns0:v>
      </ns0:c>
      <ns0:c r="C37" s="22" t="s">
        <ns0:v>84</ns0:v>
      </ns0:c>
      <ns0:c r="D37" s="22"/>
      <ns0:c r="E37" s="21" t="s">
        <ns0:v>85</ns0:v>
      </ns0:c>
      <ns0:c r="F37" s="21"/>
      <ns0:c r="G37" s="21">
        <ns0:v>1</ns0:v>
      </ns0:c>
      <ns0:c r="H37" s="21">
        <ns0:v>309</ns0:v>
      </ns0:c>
      <ns0:c r="I37" s="21">
        <ns0:f>G37*H37</ns0:f>
        <ns0:v>309</ns0:v>
      </ns0:c>
      <ns0:c r="J37" s="23"/>
    </ns0:row>
    <ns0:row r="38" spans="1:10">
      <ns0:c r="A38" s="21">
        <ns0:v>2</ns0:v>
      </ns0:c>
      <ns0:c r="B38" s="21" t="s">
        <ns0:v>83</ns0:v>
      </ns0:c>
      <ns0:c r="C38" s="22" t="s">
        <ns0:v>87</ns0:v>
      </ns0:c>
      <ns0:c r="D38" s="22"/>
      <ns0:c r="E38" s="21" t="s">
        <ns0:v>85</ns0:v>
      </ns0:c>
      <ns0:c r="F38" s="21"/>
      <ns0:c r="G38" s="21">
        <ns0:v>1</ns0:v>
      </ns0:c>
      <ns0:c r="H38" s="21">
        <ns0:v>60</ns0:v>
      </ns0:c>
      <ns0:c r="I38" s="21">
        <ns0:f>G38*H38</ns0:f>
        <ns0:v>60</ns0:v>
      </ns0:c>
      <ns0:c r="J38" s="23"/>
    </ns0:row>
    <ns0:row r="39" spans="1:10">
      <ns0:c r="A39" s="21">
        <ns0:v>3</ns0:v>
      </ns0:c>
      <ns0:c r="B39" s="21" t="s">
        <ns0:v>83</ns0:v>
      </ns0:c>
      <ns0:c r="C39" s="22" t="s">
        <ns0:v>88</ns0:v>
      </ns0:c>
      <ns0:c r="D39" s="22"/>
      <ns0:c r="E39" s="21" t="s">
        <ns0:v>85</ns0:v>
      </ns0:c>
      <ns0:c r="F39" s="24"/>
      <ns0:c r="G39" s="21">
        <ns0:v>1</ns0:v>
      </ns0:c>
      <ns0:c r="H39" s="21" t="s">
        <ns0:v>90</ns0:v>
      </ns0:c>
      <ns0:c r="I39" s="24">
        <ns0:v>0</ns0:v>
      </ns0:c>
      <ns0:c r="J39" s="23"/>
    </ns0:row>
    <ns0:row r="40" spans="1:10">
      <ns0:c r="A40" s="21">
        <ns0:v>4</ns0:v>
      </ns0:c>
      <ns0:c r="B40" s="21" t="s">
        <ns0:v>83</ns0:v>
      </ns0:c>
      <ns0:c r="C40" s="22" t="s">
        <ns0:v>92</ns0:v>
      </ns0:c>
      <ns0:c r="D40" s="22"/>
      <ns0:c r="E40" s="21" t="s">
        <ns0:v>85</ns0:v>
      </ns0:c>
      <ns0:c r="F40" s="24"/>
      <ns0:c r="G40" s="21">
        <ns0:v>1</ns0:v>
      </ns0:c>
      <ns0:c r="H40" s="21" t="s">
        <ns0:v>90</ns0:v>
      </ns0:c>
      <ns0:c r="I40" s="24">
        <ns0:v>0</ns0:v>
      </ns0:c>
      <ns0:c r="J40" s="23"/>
    </ns0:row>
    <ns0:row r="41" spans="1:10">
      <ns0:c r="A41" s="21">
        <ns0:v>5</ns0:v>
      </ns0:c>
      <ns0:c r="B41" s="21" t="s">
        <ns0:v>83</ns0:v>
      </ns0:c>
      <ns0:c r="C41" s="22" t="s">
        <ns0:v>94</ns0:v>
      </ns0:c>
      <ns0:c r="D41" s="21"/>
      <ns0:c r="E41" s="21" t="s">
        <ns0:v>85</ns0:v>
      </ns0:c>
      <ns0:c r="F41" s="24"/>
      <ns0:c r="G41" s="21">
        <ns0:v>15</ns0:v>
      </ns0:c>
      <ns0:c r="H41" s="21" t="s">
        <ns0:v>90</ns0:v>
      </ns0:c>
      <ns0:c r="I41" s="24">
        <ns0:v>0</ns0:v>
      </ns0:c>
      <ns0:c r="J41" s="23"/>
    </ns0:row>
    <ns0:row r="42" spans="1:10">
      <ns0:c r="A42" s="21">
        <ns0:v>6</ns0:v>
      </ns0:c>
      <ns0:c r="B42" s="21" t="s">
        <ns0:v>83</ns0:v>
      </ns0:c>
      <ns0:c r="C42" s="22" t="s">
        <ns0:v>95</ns0:v>
      </ns0:c>
      <ns0:c r="D42" s="21"/>
      <ns0:c r="E42" s="21" t="s">
        <ns0:v>85</ns0:v>
      </ns0:c>
      <ns0:c r="F42" s="21"/>
      <ns0:c r="G42" s="21">
        <ns0:v>1</ns0:v>
      </ns0:c>
      <ns0:c r="H42" s="21">
        <ns0:v>45</ns0:v>
      </ns0:c>
      <ns0:c r="I42" s="21">
        <ns0:f>G42*H42</ns0:f>
        <ns0:v>45</ns0:v>
      </ns0:c>
      <ns0:c r="J42" s="23"/>
    </ns0:row>
    <ns0:row r="43" spans="1:10">
      <ns0:c r="A43" s="21">
        <ns0:v>7</ns0:v>
      </ns0:c>
      <ns0:c r="B43" s="21" t="s">
        <ns0:v>83</ns0:v>
      </ns0:c>
      <ns0:c r="C43" s="22" t="s">
        <ns0:v>97</ns0:v>
      </ns0:c>
      <ns0:c r="D43" s="22"/>
      <ns0:c r="E43" s="21" t="s">
        <ns0:v>85</ns0:v>
      </ns0:c>
      <ns0:c r="F43" s="21"/>
      <ns0:c r="G43" s="21">
        <ns0:v>1</ns0:v>
      </ns0:c>
      <ns0:c r="H43" s="21">
        <ns0:v>17</ns0:v>
      </ns0:c>
      <ns0:c r="I43" s="21">
        <ns0:f>G43*H43</ns0:f>
        <ns0:v>17</ns0:v>
      </ns0:c>
      <ns0:c r="J43" s="25"/>
    </ns0:row>
    <ns0:row r="44" spans="1:10">
      <ns0:c r="A44" s="21">
        <ns0:v>8</ns0:v>
      </ns0:c>
      <ns0:c r="B44" s="21" t="s">
        <ns0:v>83</ns0:v>
      </ns0:c>
      <ns0:c r="C44" s="22" t="s">
        <ns0:v>99</ns0:v>
      </ns0:c>
      <ns0:c r="D44" s="22"/>
      <ns0:c r="E44" s="21" t="s">
        <ns0:v>85</ns0:v>
      </ns0:c>
      <ns0:c r="F44" s="21"/>
      <ns0:c r="G44" s="21">
        <ns0:v>1</ns0:v>
      </ns0:c>
      <ns0:c r="H44" s="21">
        <ns0:v>83</ns0:v>
      </ns0:c>
      <ns0:c r="I44" s="21">
        <ns0:f>G44*H44</ns0:f>
        <ns0:v>83</ns0:v>
      </ns0:c>
      <ns0:c r="J44" s="23"/>
    </ns0:row>
    <ns0:row r="45" spans="1:10">
      <ns0:c r="A45" s="21">
        <ns0:v>9</ns0:v>
      </ns0:c>
      <ns0:c r="B45" s="21" t="s">
        <ns0:v>83</ns0:v>
      </ns0:c>
      <ns0:c r="C45" s="22" t="s">
        <ns0:v>101</ns0:v>
      </ns0:c>
      <ns0:c r="D45" s="22"/>
      <ns0:c r="E45" s="21" t="s">
        <ns0:v>85</ns0:v>
      </ns0:c>
      <ns0:c r="F45" s="21"/>
      <ns0:c r="G45" s="21">
        <ns0:v>2</ns0:v>
      </ns0:c>
      <ns0:c r="H45" s="21">
        <ns0:v>1.6</ns0:v>
      </ns0:c>
      <ns0:c r="I45" s="21">
        <ns0:f>G45*H45</ns0:f>
        <ns0:v>3.2</ns0:v>
      </ns0:c>
      <ns0:c r="J45" s="25"/>
    </ns0:row>
    <ns0:row r="46" spans="1:10">
      <ns0:c r="A46" s="21">
        <ns0:v>10</ns0:v>
      </ns0:c>
      <ns0:c r="B46" s="21" t="s">
        <ns0:v>83</ns0:v>
      </ns0:c>
      <ns0:c r="C46" s="22" t="s">
        <ns0:v>103</ns0:v>
      </ns0:c>
      <ns0:c r="D46" s="22"/>
      <ns0:c r="E46" s="21" t="s">
        <ns0:v>85</ns0:v>
      </ns0:c>
      <ns0:c r="F46" s="21"/>
      <ns0:c r="G46" s="21">
        <ns0:v>1</ns0:v>
      </ns0:c>
      <ns0:c r="H46" s="21" t="s">
        <ns0:v>90</ns0:v>
      </ns0:c>
      <ns0:c r="I46" s="21">
        <ns0:v>0</ns0:v>
      </ns0:c>
      <ns0:c r="J46" s="26" t="s">
        <ns0:v>104</ns0:v>
      </ns0:c>
    </ns0:row>
    <ns0:row r="47" spans="1:10">
      <ns0:c r="A47" s="21">
        <ns0:v>11</ns0:v>
      </ns0:c>
      <ns0:c r="B47" s="21" t="s">
        <ns0:v>83</ns0:v>
      </ns0:c>
      <ns0:c r="C47" s="22" t="s">
        <ns0:v>105</ns0:v>
      </ns0:c>
      <ns0:c r="D47" s="22"/>
      <ns0:c r="E47" s="21" t="s">
        <ns0:v>106</ns0:v>
      </ns0:c>
      <ns0:c r="F47" s="21"/>
      <ns0:c r="G47" s="21">
        <ns0:v>1</ns0:v>
      </ns0:c>
      <ns0:c r="H47" s="21">
        <ns0:v>46.8</ns0:v>
      </ns0:c>
      <ns0:c r="I47" s="21">
        <ns0:f t="shared" ref="I47:I55" si="0">G47*H47</ns0:f>
        <ns0:v>46.8</ns0:v>
      </ns0:c>
      <ns0:c r="J47" s="27"/>
    </ns0:row>
    <ns0:row r="48" spans="1:10">
      <ns0:c r="A48" s="21">
        <ns0:v>12</ns0:v>
      </ns0:c>
      <ns0:c r="B48" s="21" t="s">
        <ns0:v>83</ns0:v>
      </ns0:c>
      <ns0:c r="C48" s="22" t="s">
        <ns0:v>108</ns0:v>
      </ns0:c>
      <ns0:c r="D48" s="22"/>
      <ns0:c r="E48" s="21" t="s">
        <ns0:v>85</ns0:v>
      </ns0:c>
      <ns0:c r="F48" s="21"/>
      <ns0:c r="G48" s="21">
        <ns0:v>1</ns0:v>
      </ns0:c>
      <ns0:c r="H48" s="21">
        <ns0:v>49.5</ns0:v>
      </ns0:c>
      <ns0:c r="I48" s="21">
        <ns0:f t="shared" si="0"/>
        <ns0:v>49.5</ns0:v>
      </ns0:c>
      <ns0:c r="J48" s="27"/>
    </ns0:row>
    <ns0:row r="49" spans="1:11">
      <ns0:c r="A49" s="21">
        <ns0:v>13</ns0:v>
      </ns0:c>
      <ns0:c r="B49" s="21" t="s">
        <ns0:v>83</ns0:v>
      </ns0:c>
      <ns0:c r="C49" s="22" t="s">
        <ns0:v>110</ns0:v>
      </ns0:c>
      <ns0:c r="D49" s="22"/>
      <ns0:c r="E49" s="21" t="s">
        <ns0:v>85</ns0:v>
      </ns0:c>
      <ns0:c r="F49" s="21"/>
      <ns0:c r="G49" s="21">
        <ns0:v>1</ns0:v>
      </ns0:c>
      <ns0:c r="H49" s="21">
        <ns0:v>3.8</ns0:v>
      </ns0:c>
      <ns0:c r="I49" s="21">
        <ns0:f t="shared" si="0"/>
        <ns0:v>3.8</ns0:v>
      </ns0:c>
      <ns0:c r="J49" s="27"/>
    </ns0:row>
    <ns0:row r="50" ht="21" customHeight="1" spans="1:11">
      <ns0:c r="A50" s="21">
        <ns0:v>14</ns0:v>
      </ns0:c>
      <ns0:c r="B50" s="21" t="s">
        <ns0:v>83</ns0:v>
      </ns0:c>
      <ns0:c r="C50" s="22" t="s">
        <ns0:v>112</ns0:v>
      </ns0:c>
      <ns0:c r="D50" s="22"/>
      <ns0:c r="E50" s="21" t="s">
        <ns0:v>113</ns0:v>
      </ns0:c>
      <ns0:c r="F50" s="21"/>
      <ns0:c r="G50" s="28">
        <ns0:v>3</ns0:v>
      </ns0:c>
      <ns0:c r="H50" s="28">
        <ns0:v>2.8</ns0:v>
      </ns0:c>
      <ns0:c r="I50" s="21">
        <ns0:f t="shared" si="0"/>
        <ns0:v>8.4</ns0:v>
      </ns0:c>
      <ns0:c r="J50" s="23"/>
    </ns0:row>
    <ns0:row r="51" ht="25" customHeight="1" spans="1:11">
      <ns0:c r="A51" s="21">
        <ns0:v>15</ns0:v>
      </ns0:c>
      <ns0:c r="B51" s="21" t="s">
        <ns0:v>83</ns0:v>
      </ns0:c>
      <ns0:c r="C51" s="22" t="s">
        <ns0:v>115</ns0:v>
      </ns0:c>
      <ns0:c r="D51" s="22"/>
      <ns0:c r="E51" s="21" t="s">
        <ns0:v>113</ns0:v>
      </ns0:c>
      <ns0:c r="F51" s="21"/>
      <ns0:c r="G51" s="28">
        <ns0:v>11</ns0:v>
      </ns0:c>
      <ns0:c r="H51" s="29">
        <ns0:v>3.5</ns0:v>
      </ns0:c>
      <ns0:c r="I51" s="21">
        <ns0:f t="shared" si="0"/>
        <ns0:v>38.5</ns0:v>
      </ns0:c>
      <ns0:c r="J51" s="25"/>
    </ns0:row>
    <ns0:row r="52" ht="29" customHeight="1" spans="1:11">
      <ns0:c r="A52" s="21">
        <ns0:v>16</ns0:v>
      </ns0:c>
      <ns0:c r="B52" s="21" t="s">
        <ns0:v>83</ns0:v>
      </ns0:c>
      <ns0:c r="C52" s="22" t="s">
        <ns0:v>117</ns0:v>
      </ns0:c>
      <ns0:c r="D52" s="22" t="s">
        <ns0:v>118</ns0:v>
      </ns0:c>
      <ns0:c r="E52" s="21" t="s">
        <ns0:v>113</ns0:v>
      </ns0:c>
      <ns0:c r="F52" s="21"/>
      <ns0:c r="G52" s="21">
        <ns0:v>4</ns0:v>
      </ns0:c>
      <ns0:c r="H52" s="21">
        <ns0:v>0.88</ns0:v>
      </ns0:c>
      <ns0:c r="I52" s="21">
        <ns0:f t="shared" si="0"/>
        <ns0:v>3.52</ns0:v>
      </ns0:c>
      <ns0:c r="J52" s="30"/>
      <ns0:c r="K52" s="31"/>
    </ns0:row>
    <ns0:row r="53" ht="27" customHeight="1" spans="1:11">
      <ns0:c r="A53" s="21">
        <ns0:v>17</ns0:v>
      </ns0:c>
      <ns0:c r="B53" s="21" t="s">
        <ns0:v>83</ns0:v>
      </ns0:c>
      <ns0:c r="C53" s="22" t="s">
        <ns0:v>120</ns0:v>
      </ns0:c>
      <ns0:c r="D53" s="22"/>
      <ns0:c r="E53" s="21" t="s">
        <ns0:v>113</ns0:v>
      </ns0:c>
      <ns0:c r="F53" s="21"/>
      <ns0:c r="G53" s="21" t="s">
        <ns0:v>121</ns0:v>
      </ns0:c>
      <ns0:c r="H53" s="21">
        <ns0:v>3.05</ns0:v>
      </ns0:c>
      <ns0:c r="I53" s="21">
        <ns0:v>3.05</ns0:v>
      </ns0:c>
      <ns0:c r="J53" s="30"/>
      <ns0:c r="K53" s="31"/>
    </ns0:row>
    <ns0:row r="54" ht="27" customHeight="1" spans="1:11">
      <ns0:c r="A54" s="21">
        <ns0:v>18</ns0:v>
      </ns0:c>
      <ns0:c r="B54" s="21" t="s">
        <ns0:v>83</ns0:v>
      </ns0:c>
      <ns0:c r="C54" s="22" t="s">
        <ns0:v>123</ns0:v>
      </ns0:c>
      <ns0:c r="D54" s="22"/>
      <ns0:c r="E54" s="21" t="s">
        <ns0:v>113</ns0:v>
      </ns0:c>
      <ns0:c r="F54" s="21"/>
      <ns0:c r="G54" s="21" t="s">
        <ns0:v>121</ns0:v>
      </ns0:c>
      <ns0:c r="H54" s="21">
        <ns0:v>4.05</ns0:v>
      </ns0:c>
      <ns0:c r="I54" s="21">
        <ns0:v>4.05</ns0:v>
      </ns0:c>
      <ns0:c r="J54" s="30"/>
      <ns0:c r="K54" s="31"/>
    </ns0:row>
    <ns0:row r="55" ht="23" customHeight="1" spans="1:11">
      <ns0:c r="A55" s="21">
        <ns0:v>19</ns0:v>
      </ns0:c>
      <ns0:c r="B55" s="21" t="s">
        <ns0:v>83</ns0:v>
      </ns0:c>
      <ns0:c r="C55" s="22" t="s">
        <ns0:v>125</ns0:v>
      </ns0:c>
      <ns0:c r="D55" s="22"/>
      <ns0:c r="E55" s="21" t="s">
        <ns0:v>113</ns0:v>
      </ns0:c>
      <ns0:c r="F55" s="21"/>
      <ns0:c r="G55" s="21" t="s">
        <ns0:v>121</ns0:v>
      </ns0:c>
      <ns0:c r="H55" s="21">
        <ns0:v>3.93</ns0:v>
      </ns0:c>
      <ns0:c r="I55" s="21">
        <ns0:v>3.93</ns0:v>
      </ns0:c>
      <ns0:c r="J55" s="30"/>
      <ns0:c r="K55" s="31"/>
    </ns0:row>
    <ns0:row r="56" ht="23" customHeight="1" spans="1:11">
      <ns0:c r="A56" s="21">
        <ns0:v>20</ns0:v>
      </ns0:c>
      <ns0:c r="B56" s="21" t="s">
        <ns0:v>83</ns0:v>
      </ns0:c>
      <ns0:c r="C56" s="22" t="s">
        <ns0:v>127</ns0:v>
      </ns0:c>
      <ns0:c r="D56" s="22"/>
      <ns0:c r="E56" s="21" t="s">
        <ns0:v>113</ns0:v>
      </ns0:c>
      <ns0:c r="F56" s="21"/>
      <ns0:c r="G56" s="21" t="s">
        <ns0:v>121</ns0:v>
      </ns0:c>
      <ns0:c r="H56" s="21">
        <ns0:v>2.08</ns0:v>
      </ns0:c>
      <ns0:c r="I56" s="21">
        <ns0:v>2.08</ns0:v>
      </ns0:c>
      <ns0:c r="J56" s="23"/>
    </ns0:row>
    <ns0:row r="57" spans="1:11">
      <ns0:c r="A57" s="21">
        <ns0:v>21</ns0:v>
      </ns0:c>
      <ns0:c r="B57" s="21" t="s">
        <ns0:v>83</ns0:v>
      </ns0:c>
      <ns0:c r="C57" s="22" t="s">
        <ns0:v>129</ns0:v>
      </ns0:c>
      <ns0:c r="D57" s="22"/>
      <ns0:c r="E57" s="21" t="s">
        <ns0:v>113</ns0:v>
      </ns0:c>
      <ns0:c r="F57" s="21"/>
      <ns0:c r="G57" s="21">
        <ns0:v>1</ns0:v>
      </ns0:c>
      <ns0:c r="H57" s="21">
        <ns0:v>9</ns0:v>
      </ns0:c>
      <ns0:c r="I57" s="21">
        <ns0:v>9</ns0:v>
      </ns0:c>
      <ns0:c r="J57" s="23"/>
    </ns0:row>
    <ns0:row r="58" ht="28" customHeight="1" spans="1:11">
      <ns0:c r="A58" s="32" t="s">
        <ns0:v>131</ns0:v>
      </ns0:c>
      <ns0:c r="B58" s="33"/>
      <ns0:c r="C58" s="34"/>
      <ns0:c r="D58" s="35"/>
      <ns0:c r="E58" s="35"/>
      <ns0:c r="F58" s="35"/>
      <ns0:c r="G58" s="35"/>
      <ns0:c r="H58" s="35"/>
      <ns0:c r="I58" s="36">
        <ns0:f>SUM(I3:I57)</ns0:f>
        <ns0:v>828.83</ns0:v>
      </ns0:c>
      <ns0:c r="J58" s="37"/>
    </ns0:row>
    <ns0:row r="59" spans="1:11">
      <ns0:c r="A59" s="38"/>
      <ns0:c r="B59" s="39"/>
      <ns0:c r="C59" s="39"/>
      <ns0:c r="D59" s="39"/>
      <ns0:c r="E59" s="39"/>
      <ns0:c r="F59" s="39"/>
      <ns0:c r="G59" s="39"/>
      <ns0:c r="H59" s="39"/>
      <ns0:c r="I59" s="39"/>
    </ns0:row>
    <ns0:row r="60" ht="345" customHeight="1" spans="1:11">
      <ns0:c r="A60" s="39"/>
      <ns0:c r="B60" s="39"/>
      <ns0:c r="C60" s="39"/>
      <ns0:c r="D60" s="39"/>
      <ns0:c r="E60" s="39"/>
      <ns0:c r="F60" s="39"/>
      <ns0:c r="G60" s="39"/>
      <ns0:c r="H60" s="39"/>
      <ns0:c r="I60" s="39"/>
    </ns0:row>
  </ns0:sheetData>
  <ns0:mergeCells count="5">
    <ns0:mergeCell ref="A2:J2"/>
    <ns0:mergeCell ref="A58:C58"/>
    <ns0:mergeCell ref="I3:I35"/>
    <ns0:mergeCell ref="J3:J35"/>
    <ns0:mergeCell ref="A59:I60"/>
  </ns0:mergeCells>
  <ns0:pageMargins left="0.75" right="0.75" top="1" bottom="1" header="0.5" footer="0.5"/>
  <ns0:headerFooter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翔宇cjk</cp:lastModifiedBy>
  <dcterms:created xsi:type="dcterms:W3CDTF">2026-09-05T08:17:00Z</dcterms:created>
  <dcterms:modified xsi:type="dcterms:W3CDTF">2026-09-29T06:19:55Z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CB2C7926C29349D7B83160C5711108C0_12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